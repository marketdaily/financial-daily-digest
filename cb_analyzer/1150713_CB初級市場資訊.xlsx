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bond.masterlink.com.tw\Bond_Shared_Path\CB\CB初級發行資訊\"/>
    </mc:Choice>
  </mc:AlternateContent>
  <xr:revisionPtr revIDLastSave="0" documentId="8_{CF4F4950-16DD-47D6-B52E-D16E405096C0}" xr6:coauthVersionLast="47" xr6:coauthVersionMax="47" xr10:uidLastSave="{00000000-0000-0000-0000-000000000000}"/>
  <bookViews>
    <workbookView showHorizontalScroll="0" showVerticalScroll="0" showSheetTabs="0" xWindow="28680" yWindow="-120" windowWidth="29040" windowHeight="1572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1" l="1"/>
  <c r="K16" i="1"/>
  <c r="K15" i="1"/>
  <c r="K14" i="1"/>
  <c r="K13" i="1"/>
  <c r="K12" i="1"/>
  <c r="K11" i="1"/>
  <c r="K10" i="1" l="1"/>
  <c r="K9" i="1"/>
  <c r="K8" i="1"/>
  <c r="K7" i="1"/>
  <c r="K6" i="1"/>
  <c r="K5" i="1"/>
  <c r="K4" i="1"/>
  <c r="P2" i="1"/>
</calcChain>
</file>

<file path=xl/sharedStrings.xml><?xml version="1.0" encoding="utf-8"?>
<sst xmlns="http://schemas.openxmlformats.org/spreadsheetml/2006/main" count="543" uniqueCount="242">
  <si>
    <t>標的
代號</t>
    <phoneticPr fontId="4" type="noConversion"/>
  </si>
  <si>
    <t>標的
名稱</t>
  </si>
  <si>
    <t>TCRI</t>
  </si>
  <si>
    <t>承銷
方式</t>
  </si>
  <si>
    <t>金額
(億元)</t>
  </si>
  <si>
    <r>
      <rPr>
        <sz val="10.5"/>
        <color indexed="9"/>
        <rFont val="微軟正黑體"/>
        <family val="2"/>
        <charset val="136"/>
      </rPr>
      <t xml:space="preserve">發行
期間 </t>
    </r>
  </si>
  <si>
    <t>發行
價格</t>
  </si>
  <si>
    <r>
      <rPr>
        <sz val="10.5"/>
        <color indexed="9"/>
        <rFont val="微軟正黑體"/>
        <family val="2"/>
        <charset val="136"/>
      </rPr>
      <t xml:space="preserve">承銷券商
(擔保銀) </t>
    </r>
  </si>
  <si>
    <r>
      <rPr>
        <sz val="10.5"/>
        <color indexed="9"/>
        <rFont val="微軟正黑體"/>
        <family val="2"/>
        <charset val="136"/>
      </rPr>
      <t>溢價率</t>
    </r>
  </si>
  <si>
    <r>
      <rPr>
        <sz val="10.5"/>
        <color indexed="9"/>
        <rFont val="微軟正黑體"/>
        <family val="2"/>
        <charset val="136"/>
      </rPr>
      <t xml:space="preserve">轉換價 </t>
    </r>
  </si>
  <si>
    <r>
      <rPr>
        <sz val="10.5"/>
        <color indexed="9"/>
        <rFont val="微軟正黑體"/>
        <family val="2"/>
        <charset val="136"/>
      </rPr>
      <t>轉換
價值</t>
    </r>
  </si>
  <si>
    <t>年/賣回價</t>
    <phoneticPr fontId="4" type="noConversion"/>
  </si>
  <si>
    <r>
      <rPr>
        <sz val="10.5"/>
        <color indexed="9"/>
        <rFont val="微軟正黑體"/>
        <family val="2"/>
        <charset val="136"/>
      </rPr>
      <t xml:space="preserve">收件日 </t>
    </r>
  </si>
  <si>
    <r>
      <rPr>
        <sz val="10.5"/>
        <color indexed="9"/>
        <rFont val="微軟正黑體"/>
        <family val="2"/>
        <charset val="136"/>
      </rPr>
      <t>生效日</t>
    </r>
  </si>
  <si>
    <t>詢圈/競拍期間</t>
  </si>
  <si>
    <r>
      <rPr>
        <sz val="10.5"/>
        <color indexed="9"/>
        <rFont val="微軟正黑體"/>
        <family val="2"/>
        <charset val="136"/>
      </rPr>
      <t>掛牌日</t>
    </r>
  </si>
  <si>
    <t>CB拆解日</t>
    <phoneticPr fontId="4" type="noConversion"/>
  </si>
  <si>
    <r>
      <rPr>
        <sz val="10.5"/>
        <color indexed="9"/>
        <rFont val="微軟正黑體"/>
        <family val="2"/>
        <charset val="136"/>
      </rPr>
      <t xml:space="preserve">資本額(億) </t>
    </r>
  </si>
  <si>
    <r>
      <rPr>
        <sz val="10.5"/>
        <color indexed="9"/>
        <rFont val="微軟正黑體"/>
        <family val="2"/>
        <charset val="136"/>
      </rPr>
      <t xml:space="preserve">股價 </t>
    </r>
  </si>
  <si>
    <t>CB價位</t>
  </si>
  <si>
    <r>
      <rPr>
        <sz val="10.5"/>
        <color indexed="9"/>
        <rFont val="微軟正黑體"/>
        <family val="2"/>
        <charset val="136"/>
      </rPr>
      <t xml:space="preserve">備註 </t>
    </r>
  </si>
  <si>
    <t>競拍</t>
    <phoneticPr fontId="4" type="noConversion"/>
  </si>
  <si>
    <t>詢圈</t>
    <phoneticPr fontId="4" type="noConversion"/>
  </si>
  <si>
    <t>台新證</t>
    <phoneticPr fontId="4" type="noConversion"/>
  </si>
  <si>
    <t xml:space="preserve">102~110 </t>
    <phoneticPr fontId="4" type="noConversion"/>
  </si>
  <si>
    <t xml:space="preserve">未定 </t>
    <phoneticPr fontId="4" type="noConversion"/>
  </si>
  <si>
    <t>富邦證</t>
    <phoneticPr fontId="4" type="noConversion"/>
  </si>
  <si>
    <t>統一證</t>
    <phoneticPr fontId="4" type="noConversion"/>
  </si>
  <si>
    <t>凱基證</t>
    <phoneticPr fontId="4" type="noConversion"/>
  </si>
  <si>
    <t>元大證</t>
    <phoneticPr fontId="4" type="noConversion"/>
  </si>
  <si>
    <t>不低於101</t>
    <phoneticPr fontId="4" type="noConversion"/>
  </si>
  <si>
    <t xml:space="preserve">102~105 </t>
    <phoneticPr fontId="4" type="noConversion"/>
  </si>
  <si>
    <t xml:space="preserve">不低於100 </t>
    <phoneticPr fontId="4" type="noConversion"/>
  </si>
  <si>
    <t xml:space="preserve">100~101 </t>
    <phoneticPr fontId="4" type="noConversion"/>
  </si>
  <si>
    <t>不低於102</t>
    <phoneticPr fontId="4" type="noConversion"/>
  </si>
  <si>
    <t xml:space="preserve">100~102 </t>
    <phoneticPr fontId="4" type="noConversion"/>
  </si>
  <si>
    <t xml:space="preserve">2年100~101.0025 </t>
    <phoneticPr fontId="4" type="noConversion"/>
  </si>
  <si>
    <t xml:space="preserve">105.01~110 </t>
    <phoneticPr fontId="4" type="noConversion"/>
  </si>
  <si>
    <t xml:space="preserve">董事會公告發行標的 </t>
    <phoneticPr fontId="4" type="noConversion"/>
  </si>
  <si>
    <t>代碼</t>
    <phoneticPr fontId="4" type="noConversion"/>
  </si>
  <si>
    <t>標的名稱</t>
  </si>
  <si>
    <t>TCRI 
中華信評</t>
  </si>
  <si>
    <t>承銷
方式</t>
    <phoneticPr fontId="4" type="noConversion"/>
  </si>
  <si>
    <t>發行
年限</t>
  </si>
  <si>
    <t xml:space="preserve">承銷券商
(擔保銀) </t>
    <phoneticPr fontId="4" type="noConversion"/>
  </si>
  <si>
    <t>董事會通過</t>
  </si>
  <si>
    <t>備註</t>
  </si>
  <si>
    <t xml:space="preserve">華豐二 </t>
    <phoneticPr fontId="4" type="noConversion"/>
  </si>
  <si>
    <t>5/13</t>
    <phoneticPr fontId="4" type="noConversion"/>
  </si>
  <si>
    <t>進能服一</t>
    <phoneticPr fontId="4" type="noConversion"/>
  </si>
  <si>
    <t>5/8</t>
    <phoneticPr fontId="4" type="noConversion"/>
  </si>
  <si>
    <t>不低於100</t>
    <phoneticPr fontId="4" type="noConversion"/>
  </si>
  <si>
    <t xml:space="preserve">不低於100.5 </t>
    <phoneticPr fontId="4" type="noConversion"/>
  </si>
  <si>
    <t>11/13</t>
    <phoneticPr fontId="4" type="noConversion"/>
  </si>
  <si>
    <t xml:space="preserve">波力四KY </t>
    <phoneticPr fontId="4" type="noConversion"/>
  </si>
  <si>
    <t>富邦證(上海銀)</t>
    <phoneticPr fontId="4" type="noConversion"/>
  </si>
  <si>
    <t>波力五KY</t>
    <phoneticPr fontId="4" type="noConversion"/>
  </si>
  <si>
    <t>群益證</t>
    <phoneticPr fontId="4" type="noConversion"/>
  </si>
  <si>
    <t>世界健身一KY</t>
    <phoneticPr fontId="4" type="noConversion"/>
  </si>
  <si>
    <t xml:space="preserve">送件及詢圈標的 </t>
  </si>
  <si>
    <t xml:space="preserve">統計時間 </t>
  </si>
  <si>
    <t xml:space="preserve">3年100 </t>
    <phoneticPr fontId="4" type="noConversion"/>
  </si>
  <si>
    <t xml:space="preserve">2年100 </t>
    <phoneticPr fontId="4" type="noConversion"/>
  </si>
  <si>
    <t>兆豐證</t>
    <phoneticPr fontId="4" type="noConversion"/>
  </si>
  <si>
    <t xml:space="preserve">宏致四 </t>
    <phoneticPr fontId="4" type="noConversion"/>
  </si>
  <si>
    <t>現增1100萬股@56元</t>
    <phoneticPr fontId="4" type="noConversion"/>
  </si>
  <si>
    <t xml:space="preserve">宜鼎二 </t>
    <phoneticPr fontId="4" type="noConversion"/>
  </si>
  <si>
    <t>昶昕一</t>
    <phoneticPr fontId="4" type="noConversion"/>
  </si>
  <si>
    <t xml:space="preserve">不低於102 </t>
    <phoneticPr fontId="4" type="noConversion"/>
  </si>
  <si>
    <t>寶一一</t>
    <phoneticPr fontId="4" type="noConversion"/>
  </si>
  <si>
    <t>3/13</t>
    <phoneticPr fontId="4" type="noConversion"/>
  </si>
  <si>
    <t xml:space="preserve">雙鍵二 </t>
    <phoneticPr fontId="4" type="noConversion"/>
  </si>
  <si>
    <t xml:space="preserve">東聯互動一 </t>
    <phoneticPr fontId="4" type="noConversion"/>
  </si>
  <si>
    <t>未定</t>
    <phoneticPr fontId="4" type="noConversion"/>
  </si>
  <si>
    <t>永豐金證</t>
    <phoneticPr fontId="4" type="noConversion"/>
  </si>
  <si>
    <t>生合一</t>
    <phoneticPr fontId="4" type="noConversion"/>
  </si>
  <si>
    <t xml:space="preserve">正達四 </t>
    <phoneticPr fontId="4" type="noConversion"/>
  </si>
  <si>
    <t>2年100</t>
    <phoneticPr fontId="4" type="noConversion"/>
  </si>
  <si>
    <t>台新證(板信銀)</t>
    <phoneticPr fontId="4" type="noConversion"/>
  </si>
  <si>
    <t>正基三</t>
    <phoneticPr fontId="4" type="noConversion"/>
  </si>
  <si>
    <t xml:space="preserve">不低於105 </t>
    <phoneticPr fontId="4" type="noConversion"/>
  </si>
  <si>
    <t>慶豐富四</t>
    <phoneticPr fontId="4" type="noConversion"/>
  </si>
  <si>
    <t>4/10</t>
    <phoneticPr fontId="4" type="noConversion"/>
  </si>
  <si>
    <t xml:space="preserve">佐登四KY </t>
    <phoneticPr fontId="4" type="noConversion"/>
  </si>
  <si>
    <t>華南永昌證(土地銀)</t>
    <phoneticPr fontId="4" type="noConversion"/>
  </si>
  <si>
    <t xml:space="preserve">一詮七 </t>
    <phoneticPr fontId="4" type="noConversion"/>
  </si>
  <si>
    <t>中國信託證</t>
    <phoneticPr fontId="4" type="noConversion"/>
  </si>
  <si>
    <t xml:space="preserve">106~110 </t>
    <phoneticPr fontId="4" type="noConversion"/>
  </si>
  <si>
    <t>2年100.5006</t>
    <phoneticPr fontId="4" type="noConversion"/>
  </si>
  <si>
    <t xml:space="preserve">邑昇二 </t>
    <phoneticPr fontId="4" type="noConversion"/>
  </si>
  <si>
    <t>萬潤六</t>
    <phoneticPr fontId="4" type="noConversion"/>
  </si>
  <si>
    <t>創見二</t>
    <phoneticPr fontId="4" type="noConversion"/>
  </si>
  <si>
    <t>廣閎科一</t>
    <phoneticPr fontId="4" type="noConversion"/>
  </si>
  <si>
    <t>青雲二</t>
    <phoneticPr fontId="4" type="noConversion"/>
  </si>
  <si>
    <t>現增312.5萬股@50元</t>
    <phoneticPr fontId="4" type="noConversion"/>
  </si>
  <si>
    <t xml:space="preserve">2年101~10302 </t>
    <phoneticPr fontId="4" type="noConversion"/>
  </si>
  <si>
    <t>現增200萬股@50元</t>
    <phoneticPr fontId="4" type="noConversion"/>
  </si>
  <si>
    <t>威宏三KY</t>
    <phoneticPr fontId="4" type="noConversion"/>
  </si>
  <si>
    <t>現增400萬股@50元</t>
    <phoneticPr fontId="4" type="noConversion"/>
  </si>
  <si>
    <t>威宏四KY</t>
    <phoneticPr fontId="4" type="noConversion"/>
  </si>
  <si>
    <t>富邦證</t>
  </si>
  <si>
    <t>增你強五</t>
    <phoneticPr fontId="4" type="noConversion"/>
  </si>
  <si>
    <t>增你強六</t>
    <phoneticPr fontId="4" type="noConversion"/>
  </si>
  <si>
    <t>不低100.5~101</t>
    <phoneticPr fontId="4" type="noConversion"/>
  </si>
  <si>
    <t>廣穎一</t>
    <phoneticPr fontId="4" type="noConversion"/>
  </si>
  <si>
    <t>安國一</t>
    <phoneticPr fontId="4" type="noConversion"/>
  </si>
  <si>
    <t xml:space="preserve">辛耘三 </t>
    <phoneticPr fontId="4" type="noConversion"/>
  </si>
  <si>
    <t>辛耘四</t>
    <phoneticPr fontId="4" type="noConversion"/>
  </si>
  <si>
    <t xml:space="preserve">不低於103 </t>
    <phoneticPr fontId="4" type="noConversion"/>
  </si>
  <si>
    <t xml:space="preserve">擎亞二 </t>
    <phoneticPr fontId="4" type="noConversion"/>
  </si>
  <si>
    <t xml:space="preserve">擎亞三 </t>
    <phoneticPr fontId="4" type="noConversion"/>
  </si>
  <si>
    <t xml:space="preserve">至上十一 </t>
    <phoneticPr fontId="4" type="noConversion"/>
  </si>
  <si>
    <t xml:space="preserve">昇銳三 </t>
    <phoneticPr fontId="4" type="noConversion"/>
  </si>
  <si>
    <t>5/14</t>
    <phoneticPr fontId="4" type="noConversion"/>
  </si>
  <si>
    <t>雲豹能源二</t>
    <phoneticPr fontId="4" type="noConversion"/>
  </si>
  <si>
    <t>凱基證(永豐銀)</t>
    <phoneticPr fontId="4" type="noConversion"/>
  </si>
  <si>
    <t>星宇航空一</t>
    <phoneticPr fontId="4" type="noConversion"/>
  </si>
  <si>
    <t xml:space="preserve">星宇航空二 </t>
    <phoneticPr fontId="4" type="noConversion"/>
  </si>
  <si>
    <t>南俊國際三</t>
    <phoneticPr fontId="4" type="noConversion"/>
  </si>
  <si>
    <t>萬旭三</t>
    <phoneticPr fontId="4" type="noConversion"/>
  </si>
  <si>
    <t>中信證(中信銀)</t>
    <phoneticPr fontId="4" type="noConversion"/>
  </si>
  <si>
    <t xml:space="preserve">世紀鋼九 </t>
    <phoneticPr fontId="4" type="noConversion"/>
  </si>
  <si>
    <t xml:space="preserve">國統五 </t>
    <phoneticPr fontId="4" type="noConversion"/>
  </si>
  <si>
    <t xml:space="preserve">國統六 </t>
    <phoneticPr fontId="4" type="noConversion"/>
  </si>
  <si>
    <t>巨漢一</t>
    <phoneticPr fontId="4" type="noConversion"/>
  </si>
  <si>
    <t xml:space="preserve">100~105 </t>
    <phoneticPr fontId="4" type="noConversion"/>
  </si>
  <si>
    <t>巨漢二</t>
    <phoneticPr fontId="4" type="noConversion"/>
  </si>
  <si>
    <t xml:space="preserve">福邦證(遠東銀) </t>
    <phoneticPr fontId="4" type="noConversion"/>
  </si>
  <si>
    <t xml:space="preserve">智崴六 </t>
    <phoneticPr fontId="4" type="noConversion"/>
  </si>
  <si>
    <t>兆豐證(未定)</t>
    <phoneticPr fontId="4" type="noConversion"/>
  </si>
  <si>
    <t xml:space="preserve">現增4000萬股@65元 </t>
    <phoneticPr fontId="4" type="noConversion"/>
  </si>
  <si>
    <t>晶豪科二</t>
    <phoneticPr fontId="4" type="noConversion"/>
  </si>
  <si>
    <t>凱基證(台北富邦)</t>
    <phoneticPr fontId="4" type="noConversion"/>
  </si>
  <si>
    <t xml:space="preserve">105.1~110 </t>
    <phoneticPr fontId="4" type="noConversion"/>
  </si>
  <si>
    <t xml:space="preserve">2年100~102.01 </t>
    <phoneticPr fontId="4" type="noConversion"/>
  </si>
  <si>
    <t>台新證(永豐銀)</t>
    <phoneticPr fontId="4" type="noConversion"/>
  </si>
  <si>
    <t xml:space="preserve">102~120 </t>
    <phoneticPr fontId="4" type="noConversion"/>
  </si>
  <si>
    <t>103</t>
    <phoneticPr fontId="4" type="noConversion"/>
  </si>
  <si>
    <t>聯電一</t>
    <phoneticPr fontId="4" type="noConversion"/>
  </si>
  <si>
    <t xml:space="preserve">不低於101 </t>
    <phoneticPr fontId="4" type="noConversion"/>
  </si>
  <si>
    <t>宏遠證</t>
    <phoneticPr fontId="4" type="noConversion"/>
  </si>
  <si>
    <t xml:space="preserve">聯電二 </t>
    <phoneticPr fontId="4" type="noConversion"/>
  </si>
  <si>
    <t xml:space="preserve">皇龍二 </t>
    <phoneticPr fontId="4" type="noConversion"/>
  </si>
  <si>
    <t>台新證(第一銀)</t>
    <phoneticPr fontId="4" type="noConversion"/>
  </si>
  <si>
    <t>6/01</t>
    <phoneticPr fontId="4" type="noConversion"/>
  </si>
  <si>
    <t>大東電一</t>
    <phoneticPr fontId="4" type="noConversion"/>
  </si>
  <si>
    <t>國泰證</t>
    <phoneticPr fontId="4" type="noConversion"/>
  </si>
  <si>
    <t>華建五</t>
    <phoneticPr fontId="4" type="noConversion"/>
  </si>
  <si>
    <t xml:space="preserve">光隆二 </t>
    <phoneticPr fontId="4" type="noConversion"/>
  </si>
  <si>
    <t>雍智一</t>
    <phoneticPr fontId="4" type="noConversion"/>
  </si>
  <si>
    <t>凱基證(未定)</t>
    <phoneticPr fontId="4" type="noConversion"/>
  </si>
  <si>
    <t>映興二</t>
    <phoneticPr fontId="4" type="noConversion"/>
  </si>
  <si>
    <t xml:space="preserve">100~102.5 </t>
    <phoneticPr fontId="4" type="noConversion"/>
  </si>
  <si>
    <t>德信證</t>
    <phoneticPr fontId="4" type="noConversion"/>
  </si>
  <si>
    <t>3年100</t>
    <phoneticPr fontId="4" type="noConversion"/>
  </si>
  <si>
    <t>6/9~6/10</t>
    <phoneticPr fontId="4" type="noConversion"/>
  </si>
  <si>
    <t>現增2372萬股@60元</t>
    <phoneticPr fontId="4" type="noConversion"/>
  </si>
  <si>
    <t xml:space="preserve">102~115 </t>
    <phoneticPr fontId="4" type="noConversion"/>
  </si>
  <si>
    <t>103.69</t>
    <phoneticPr fontId="4" type="noConversion"/>
  </si>
  <si>
    <t>6/12~6/16</t>
    <phoneticPr fontId="4" type="noConversion"/>
  </si>
  <si>
    <t>107</t>
    <phoneticPr fontId="4" type="noConversion"/>
  </si>
  <si>
    <t xml:space="preserve">2年101 </t>
    <phoneticPr fontId="4" type="noConversion"/>
  </si>
  <si>
    <t>109.55</t>
    <phoneticPr fontId="4" type="noConversion"/>
  </si>
  <si>
    <t>6/15~6/17</t>
    <phoneticPr fontId="4" type="noConversion"/>
  </si>
  <si>
    <t>2年101.0025</t>
    <phoneticPr fontId="4" type="noConversion"/>
  </si>
  <si>
    <t xml:space="preserve">不低103~107 </t>
    <phoneticPr fontId="4" type="noConversion"/>
  </si>
  <si>
    <t xml:space="preserve">102~108 </t>
    <phoneticPr fontId="4" type="noConversion"/>
  </si>
  <si>
    <t xml:space="preserve">晟田五 </t>
    <phoneticPr fontId="4" type="noConversion"/>
  </si>
  <si>
    <t>6/11</t>
    <phoneticPr fontId="4" type="noConversion"/>
  </si>
  <si>
    <t xml:space="preserve">晟田六  </t>
    <phoneticPr fontId="4" type="noConversion"/>
  </si>
  <si>
    <t>凱基證</t>
  </si>
  <si>
    <t>博智二</t>
    <phoneticPr fontId="4" type="noConversion"/>
  </si>
  <si>
    <t>博智三</t>
    <phoneticPr fontId="4" type="noConversion"/>
  </si>
  <si>
    <t>104.36</t>
    <phoneticPr fontId="4" type="noConversion"/>
  </si>
  <si>
    <t>6/16~6/18</t>
    <phoneticPr fontId="4" type="noConversion"/>
  </si>
  <si>
    <t xml:space="preserve">現增200萬股@25元 </t>
    <phoneticPr fontId="4" type="noConversion"/>
  </si>
  <si>
    <t xml:space="preserve">最低標：108.66元，最高標：119.98元  平均標：111.04元 </t>
    <phoneticPr fontId="4" type="noConversion"/>
  </si>
  <si>
    <t xml:space="preserve">最低標：100.00元， 最高標：107.60元  平均標：102.13元 </t>
    <phoneticPr fontId="4" type="noConversion"/>
  </si>
  <si>
    <t>6/18~6/22</t>
    <phoneticPr fontId="4" type="noConversion"/>
  </si>
  <si>
    <t xml:space="preserve">2年102.01 </t>
    <phoneticPr fontId="4" type="noConversion"/>
  </si>
  <si>
    <t>十銓五</t>
    <phoneticPr fontId="4" type="noConversion"/>
  </si>
  <si>
    <t>6/17</t>
    <phoneticPr fontId="4" type="noConversion"/>
  </si>
  <si>
    <t>聖暉*二</t>
    <phoneticPr fontId="4" type="noConversion"/>
  </si>
  <si>
    <t xml:space="preserve">101~103 </t>
    <phoneticPr fontId="4" type="noConversion"/>
  </si>
  <si>
    <t>國票證</t>
    <phoneticPr fontId="4" type="noConversion"/>
  </si>
  <si>
    <t>聖暉*三</t>
    <phoneticPr fontId="4" type="noConversion"/>
  </si>
  <si>
    <t>聯亞一</t>
    <phoneticPr fontId="4" type="noConversion"/>
  </si>
  <si>
    <t xml:space="preserve">不低102~108 </t>
    <phoneticPr fontId="4" type="noConversion"/>
  </si>
  <si>
    <t>聯亞二</t>
    <phoneticPr fontId="4" type="noConversion"/>
  </si>
  <si>
    <t>晶宏四</t>
    <phoneticPr fontId="4" type="noConversion"/>
  </si>
  <si>
    <t>6/16</t>
    <phoneticPr fontId="4" type="noConversion"/>
  </si>
  <si>
    <t>晶宏五</t>
    <phoneticPr fontId="4" type="noConversion"/>
  </si>
  <si>
    <t xml:space="preserve">盟立三 </t>
    <phoneticPr fontId="4" type="noConversion"/>
  </si>
  <si>
    <t xml:space="preserve">最低標：120.60元， 最高標：149.70元  平均標：125.69元 </t>
    <phoneticPr fontId="4" type="noConversion"/>
  </si>
  <si>
    <t xml:space="preserve">最低標：137.77元， 最高標：190.30元  平均標：140.21元 </t>
    <phoneticPr fontId="4" type="noConversion"/>
  </si>
  <si>
    <t>6/23~6/24</t>
    <phoneticPr fontId="4" type="noConversion"/>
  </si>
  <si>
    <t>中砂二</t>
    <phoneticPr fontId="4" type="noConversion"/>
  </si>
  <si>
    <t>6/18</t>
    <phoneticPr fontId="4" type="noConversion"/>
  </si>
  <si>
    <t>105.01</t>
    <phoneticPr fontId="4" type="noConversion"/>
  </si>
  <si>
    <t>105.55</t>
    <phoneticPr fontId="4" type="noConversion"/>
  </si>
  <si>
    <t>申請延長募集三個月</t>
    <phoneticPr fontId="4" type="noConversion"/>
  </si>
  <si>
    <t xml:space="preserve">105.01~115 </t>
    <phoneticPr fontId="4" type="noConversion"/>
  </si>
  <si>
    <t xml:space="preserve">現增300萬股@400元 </t>
    <phoneticPr fontId="4" type="noConversion"/>
  </si>
  <si>
    <t>102</t>
    <phoneticPr fontId="4" type="noConversion"/>
  </si>
  <si>
    <t>111.73</t>
    <phoneticPr fontId="4" type="noConversion"/>
  </si>
  <si>
    <t>6/29~7/1</t>
    <phoneticPr fontId="4" type="noConversion"/>
  </si>
  <si>
    <t>維田二</t>
    <phoneticPr fontId="4" type="noConversion"/>
  </si>
  <si>
    <t>6/29</t>
    <phoneticPr fontId="4" type="noConversion"/>
  </si>
  <si>
    <t>楠梓一</t>
    <phoneticPr fontId="4" type="noConversion"/>
  </si>
  <si>
    <t>聚賢研發一創</t>
    <phoneticPr fontId="4" type="noConversion"/>
  </si>
  <si>
    <t>7/2~7/6</t>
    <phoneticPr fontId="4" type="noConversion"/>
  </si>
  <si>
    <t>嘉晶六</t>
    <phoneticPr fontId="4" type="noConversion"/>
  </si>
  <si>
    <t>6/30</t>
    <phoneticPr fontId="4" type="noConversion"/>
  </si>
  <si>
    <t>103.5</t>
    <phoneticPr fontId="4" type="noConversion"/>
  </si>
  <si>
    <t xml:space="preserve">最低標：111.00元， 最高標：136.20元  平均標：114.60元 </t>
    <phoneticPr fontId="4" type="noConversion"/>
  </si>
  <si>
    <t>7/6~7/8</t>
    <phoneticPr fontId="4" type="noConversion"/>
  </si>
  <si>
    <t>103.03</t>
    <phoneticPr fontId="4" type="noConversion"/>
  </si>
  <si>
    <t>倚強科一</t>
    <phoneticPr fontId="4" type="noConversion"/>
  </si>
  <si>
    <t>7/1</t>
    <phoneticPr fontId="4" type="noConversion"/>
  </si>
  <si>
    <t>105~120</t>
    <phoneticPr fontId="4" type="noConversion"/>
  </si>
  <si>
    <t>102~105</t>
    <phoneticPr fontId="4" type="noConversion"/>
  </si>
  <si>
    <t>105.1~110</t>
    <phoneticPr fontId="4" type="noConversion"/>
  </si>
  <si>
    <t xml:space="preserve">102~103 </t>
    <phoneticPr fontId="4" type="noConversion"/>
  </si>
  <si>
    <t>105~115</t>
    <phoneticPr fontId="4" type="noConversion"/>
  </si>
  <si>
    <t>102~110</t>
    <phoneticPr fontId="4" type="noConversion"/>
  </si>
  <si>
    <t>可寧衛*三</t>
    <phoneticPr fontId="4" type="noConversion"/>
  </si>
  <si>
    <t>7/2</t>
    <phoneticPr fontId="4" type="noConversion"/>
  </si>
  <si>
    <t>元大證(元大銀)</t>
    <phoneticPr fontId="4" type="noConversion"/>
  </si>
  <si>
    <t>105.1~120</t>
    <phoneticPr fontId="4" type="noConversion"/>
  </si>
  <si>
    <t>台新證(台新銀)</t>
    <phoneticPr fontId="4" type="noConversion"/>
  </si>
  <si>
    <t xml:space="preserve">最低標：118.18元， 最高標：126.70元  平均標：121.18元 </t>
    <phoneticPr fontId="4" type="noConversion"/>
  </si>
  <si>
    <t>7/9~7/13</t>
    <phoneticPr fontId="4" type="noConversion"/>
  </si>
  <si>
    <t>105~110</t>
    <phoneticPr fontId="4" type="noConversion"/>
  </si>
  <si>
    <t>2年100.5</t>
    <phoneticPr fontId="4" type="noConversion"/>
  </si>
  <si>
    <t>105.12</t>
    <phoneticPr fontId="4" type="noConversion"/>
  </si>
  <si>
    <t xml:space="preserve">最低標：112.44元， 最高標：124.86元  平均標：116.19元 </t>
    <phoneticPr fontId="4" type="noConversion"/>
  </si>
  <si>
    <t>富邦證(國泰世華)</t>
    <phoneticPr fontId="4" type="noConversion"/>
  </si>
  <si>
    <t xml:space="preserve">102 </t>
    <phoneticPr fontId="4" type="noConversion"/>
  </si>
  <si>
    <t>7/8~7/9</t>
    <phoneticPr fontId="4" type="noConversion"/>
  </si>
  <si>
    <t>7/10~7/14</t>
    <phoneticPr fontId="4" type="noConversion"/>
  </si>
  <si>
    <t>7/7自行撤回</t>
    <phoneticPr fontId="4" type="noConversion"/>
  </si>
  <si>
    <t>7/8停止生效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</si>
</sst>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/d;@"/>
    <numFmt numFmtId="177" formatCode="0.0_);[Red]\(0.0\)"/>
    <numFmt numFmtId="178" formatCode="0.00_);[Red]\(0.00\)"/>
    <numFmt numFmtId="179" formatCode="0_);[Red]\(0\)"/>
  </numFmts>
  <fonts count="15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.5"/>
      <color indexed="9"/>
      <name val="微軟正黑體"/>
      <family val="2"/>
      <charset val="136"/>
    </font>
    <font>
      <sz val="9"/>
      <name val="新細明體"/>
      <family val="1"/>
      <charset val="136"/>
    </font>
    <font>
      <sz val="10.5"/>
      <color theme="0"/>
      <name val="微軟正黑體"/>
      <family val="2"/>
      <charset val="136"/>
    </font>
    <font>
      <sz val="12"/>
      <color rgb="FF9C6500"/>
      <name val="新細明體"/>
      <family val="1"/>
      <charset val="136"/>
      <scheme val="minor"/>
    </font>
    <font>
      <b/>
      <sz val="12"/>
      <color theme="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0.5"/>
      <name val="微軟正黑體"/>
      <family val="2"/>
      <charset val="136"/>
    </font>
    <font>
      <sz val="10.5"/>
      <color rgb="FFFF0000"/>
      <name val="微軟正黑體"/>
      <family val="2"/>
      <charset val="136"/>
    </font>
    <font>
      <sz val="12"/>
      <color rgb="FF9C0006"/>
      <name val="新細明體"/>
      <family val="1"/>
      <charset val="136"/>
      <scheme val="minor"/>
    </font>
    <font>
      <b/>
      <sz val="10.5"/>
      <color rgb="FFFF0000"/>
      <name val="微軟正黑體"/>
      <family val="2"/>
      <charset val="136"/>
    </font>
    <font>
      <b/>
      <sz val="10.5"/>
      <color theme="0"/>
      <name val="微軟正黑體"/>
      <family val="2"/>
      <charset val="136"/>
    </font>
    <font>
      <sz val="12"/>
      <name val="新細明體"/>
      <family val="2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3" fillId="6" borderId="1" xfId="2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 wrapText="1"/>
    </xf>
    <xf numFmtId="176" fontId="5" fillId="6" borderId="1" xfId="3" applyNumberFormat="1" applyFont="1" applyFill="1" applyBorder="1" applyAlignment="1">
      <alignment horizontal="center" vertical="center" wrapText="1"/>
    </xf>
    <xf numFmtId="177" fontId="7" fillId="6" borderId="1" xfId="2" applyNumberFormat="1" applyFont="1" applyFill="1" applyBorder="1" applyAlignment="1">
      <alignment horizontal="center" vertical="center" wrapText="1"/>
    </xf>
    <xf numFmtId="177" fontId="5" fillId="6" borderId="1" xfId="2" applyNumberFormat="1" applyFont="1" applyFill="1" applyBorder="1" applyAlignment="1">
      <alignment horizontal="center" vertical="center" wrapText="1"/>
    </xf>
    <xf numFmtId="49" fontId="5" fillId="6" borderId="1" xfId="2" applyNumberFormat="1" applyFont="1" applyFill="1" applyBorder="1" applyAlignment="1">
      <alignment horizontal="center" vertical="center" wrapText="1"/>
    </xf>
    <xf numFmtId="178" fontId="5" fillId="6" borderId="1" xfId="2" applyNumberFormat="1" applyFont="1" applyFill="1" applyBorder="1" applyAlignment="1">
      <alignment horizontal="center" vertical="center" wrapText="1"/>
    </xf>
    <xf numFmtId="176" fontId="5" fillId="6" borderId="1" xfId="2" applyNumberFormat="1" applyFont="1" applyFill="1" applyBorder="1" applyAlignment="1">
      <alignment horizontal="center" vertical="center" wrapText="1"/>
    </xf>
    <xf numFmtId="0" fontId="5" fillId="6" borderId="1" xfId="4" applyFont="1" applyFill="1" applyBorder="1" applyAlignment="1">
      <alignment horizontal="center" vertical="center" wrapText="1"/>
    </xf>
    <xf numFmtId="0" fontId="5" fillId="6" borderId="0" xfId="2" applyFont="1" applyFill="1" applyBorder="1" applyAlignment="1">
      <alignment horizontal="left" vertical="center"/>
    </xf>
    <xf numFmtId="0" fontId="9" fillId="0" borderId="1" xfId="2" applyFont="1" applyFill="1" applyBorder="1" applyAlignment="1">
      <alignment horizontal="center" vertical="center" wrapText="1"/>
    </xf>
    <xf numFmtId="179" fontId="9" fillId="0" borderId="1" xfId="2" applyNumberFormat="1" applyFont="1" applyFill="1" applyBorder="1" applyAlignment="1">
      <alignment horizontal="center" vertical="center" wrapText="1"/>
    </xf>
    <xf numFmtId="49" fontId="5" fillId="7" borderId="1" xfId="3" applyNumberFormat="1" applyFont="1" applyFill="1" applyBorder="1" applyAlignment="1">
      <alignment horizontal="center" vertical="center"/>
    </xf>
    <xf numFmtId="10" fontId="5" fillId="7" borderId="1" xfId="5" applyNumberFormat="1" applyFont="1" applyFill="1" applyBorder="1" applyAlignment="1">
      <alignment horizontal="center" vertical="center"/>
    </xf>
    <xf numFmtId="176" fontId="9" fillId="0" borderId="1" xfId="2" applyNumberFormat="1" applyFont="1" applyFill="1" applyBorder="1" applyAlignment="1">
      <alignment horizontal="center" vertical="center" wrapText="1"/>
    </xf>
    <xf numFmtId="176" fontId="5" fillId="7" borderId="1" xfId="5" applyNumberFormat="1" applyFont="1" applyFill="1" applyBorder="1" applyAlignment="1">
      <alignment horizontal="center" vertical="center"/>
    </xf>
    <xf numFmtId="2" fontId="9" fillId="0" borderId="1" xfId="3" applyNumberFormat="1" applyFont="1" applyFill="1" applyBorder="1" applyAlignment="1">
      <alignment horizontal="center" vertical="center" wrapText="1"/>
    </xf>
    <xf numFmtId="178" fontId="9" fillId="0" borderId="1" xfId="2" applyNumberFormat="1" applyFont="1" applyFill="1" applyBorder="1" applyAlignment="1">
      <alignment horizontal="center" vertical="center" wrapText="1"/>
    </xf>
    <xf numFmtId="176" fontId="9" fillId="0" borderId="1" xfId="5" applyNumberFormat="1" applyFont="1" applyFill="1" applyBorder="1" applyAlignment="1">
      <alignment horizontal="center" vertical="center"/>
    </xf>
    <xf numFmtId="0" fontId="9" fillId="0" borderId="1" xfId="2" applyFont="1" applyFill="1" applyBorder="1" applyAlignment="1">
      <alignment horizontal="center" vertical="center"/>
    </xf>
    <xf numFmtId="0" fontId="9" fillId="0" borderId="0" xfId="4" applyFont="1" applyAlignment="1">
      <alignment horizontal="left" vertical="center"/>
    </xf>
    <xf numFmtId="0" fontId="9" fillId="0" borderId="1" xfId="3" applyNumberFormat="1" applyFont="1" applyFill="1" applyBorder="1" applyAlignment="1">
      <alignment horizontal="center" vertical="center"/>
    </xf>
    <xf numFmtId="0" fontId="9" fillId="0" borderId="0" xfId="2" applyFont="1" applyFill="1" applyBorder="1" applyAlignment="1">
      <alignment horizontal="center" vertical="center"/>
    </xf>
    <xf numFmtId="0" fontId="5" fillId="7" borderId="2" xfId="3" applyNumberFormat="1" applyFont="1" applyFill="1" applyBorder="1" applyAlignment="1">
      <alignment horizontal="center" vertical="center"/>
    </xf>
    <xf numFmtId="176" fontId="9" fillId="0" borderId="1" xfId="5" applyNumberFormat="1" applyFont="1" applyFill="1" applyBorder="1" applyAlignment="1">
      <alignment horizontal="center" vertical="center" wrapText="1"/>
    </xf>
    <xf numFmtId="0" fontId="9" fillId="0" borderId="2" xfId="3" applyNumberFormat="1" applyFont="1" applyFill="1" applyBorder="1" applyAlignment="1">
      <alignment horizontal="center" vertical="center"/>
    </xf>
    <xf numFmtId="176" fontId="9" fillId="0" borderId="0" xfId="2" applyNumberFormat="1" applyFont="1" applyFill="1" applyBorder="1" applyAlignment="1">
      <alignment horizontal="center" vertical="center"/>
    </xf>
    <xf numFmtId="0" fontId="9" fillId="0" borderId="3" xfId="2" applyFont="1" applyFill="1" applyBorder="1" applyAlignment="1">
      <alignment horizontal="center" vertical="center" wrapText="1"/>
    </xf>
    <xf numFmtId="0" fontId="9" fillId="0" borderId="1" xfId="4" applyFont="1" applyBorder="1" applyAlignment="1">
      <alignment horizontal="center" vertical="center" wrapText="1"/>
    </xf>
    <xf numFmtId="178" fontId="1" fillId="0" borderId="1" xfId="1" applyNumberFormat="1" applyFill="1" applyBorder="1" applyAlignment="1" applyProtection="1">
      <alignment vertical="center" wrapText="1"/>
    </xf>
    <xf numFmtId="0" fontId="5" fillId="7" borderId="1" xfId="5" applyNumberFormat="1" applyFont="1" applyFill="1" applyBorder="1" applyAlignment="1">
      <alignment horizontal="center" vertical="center" wrapText="1"/>
    </xf>
    <xf numFmtId="178" fontId="9" fillId="0" borderId="1" xfId="2" applyNumberFormat="1" applyFont="1" applyFill="1" applyBorder="1" applyAlignment="1">
      <alignment vertical="center" wrapText="1"/>
    </xf>
    <xf numFmtId="177" fontId="9" fillId="0" borderId="3" xfId="2" applyNumberFormat="1" applyFont="1" applyFill="1" applyBorder="1" applyAlignment="1">
      <alignment horizontal="center" vertical="center" wrapText="1"/>
    </xf>
    <xf numFmtId="49" fontId="9" fillId="0" borderId="3" xfId="3" applyNumberFormat="1" applyFont="1" applyFill="1" applyBorder="1" applyAlignment="1">
      <alignment horizontal="center" vertical="center" wrapText="1"/>
    </xf>
    <xf numFmtId="14" fontId="9" fillId="8" borderId="1" xfId="5" applyNumberFormat="1" applyFont="1" applyFill="1" applyBorder="1" applyAlignment="1">
      <alignment horizontal="center" vertical="center"/>
    </xf>
    <xf numFmtId="0" fontId="13" fillId="7" borderId="1" xfId="2" applyFont="1" applyFill="1" applyBorder="1" applyAlignment="1">
      <alignment horizontal="center" vertical="center"/>
    </xf>
    <xf numFmtId="0" fontId="9" fillId="0" borderId="0" xfId="2" applyFont="1" applyFill="1" applyBorder="1" applyAlignment="1">
      <alignment horizontal="center" vertical="center" wrapText="1"/>
    </xf>
    <xf numFmtId="179" fontId="9" fillId="0" borderId="0" xfId="2" applyNumberFormat="1" applyFont="1" applyFill="1" applyBorder="1" applyAlignment="1">
      <alignment horizontal="center" vertical="center" wrapText="1"/>
    </xf>
    <xf numFmtId="49" fontId="9" fillId="0" borderId="0" xfId="3" applyNumberFormat="1" applyFont="1" applyFill="1" applyBorder="1" applyAlignment="1">
      <alignment horizontal="center" vertical="center" wrapText="1"/>
    </xf>
    <xf numFmtId="176" fontId="9" fillId="0" borderId="0" xfId="5" applyNumberFormat="1" applyFont="1" applyFill="1" applyBorder="1" applyAlignment="1">
      <alignment horizontal="center" vertical="center" wrapText="1"/>
    </xf>
    <xf numFmtId="178" fontId="9" fillId="0" borderId="0" xfId="2" applyNumberFormat="1" applyFont="1" applyFill="1" applyBorder="1" applyAlignment="1">
      <alignment horizontal="center" vertical="center" wrapText="1"/>
    </xf>
    <xf numFmtId="176" fontId="9" fillId="0" borderId="0" xfId="2" applyNumberFormat="1" applyFont="1" applyFill="1" applyBorder="1" applyAlignment="1">
      <alignment horizontal="center" vertical="center" wrapText="1"/>
    </xf>
    <xf numFmtId="176" fontId="9" fillId="0" borderId="0" xfId="5" applyNumberFormat="1" applyFont="1" applyFill="1" applyBorder="1" applyAlignment="1">
      <alignment horizontal="center" vertical="center"/>
    </xf>
    <xf numFmtId="2" fontId="9" fillId="0" borderId="0" xfId="3" applyNumberFormat="1" applyFont="1" applyFill="1" applyBorder="1" applyAlignment="1">
      <alignment horizontal="center" vertical="center" wrapText="1"/>
    </xf>
    <xf numFmtId="0" fontId="9" fillId="0" borderId="0" xfId="2" applyFont="1" applyFill="1" applyBorder="1" applyAlignment="1">
      <alignment horizontal="left" vertical="center"/>
    </xf>
    <xf numFmtId="0" fontId="9" fillId="0" borderId="0" xfId="3" applyNumberFormat="1" applyFont="1" applyFill="1" applyBorder="1" applyAlignment="1">
      <alignment horizontal="center" vertical="center"/>
    </xf>
    <xf numFmtId="179" fontId="9" fillId="0" borderId="0" xfId="2" applyNumberFormat="1" applyFont="1" applyFill="1" applyBorder="1" applyAlignment="1">
      <alignment horizontal="center" vertical="center"/>
    </xf>
    <xf numFmtId="49" fontId="9" fillId="0" borderId="0" xfId="2" applyNumberFormat="1" applyFont="1" applyFill="1" applyBorder="1" applyAlignment="1">
      <alignment horizontal="center" vertical="center"/>
    </xf>
    <xf numFmtId="49" fontId="9" fillId="0" borderId="0" xfId="3" applyNumberFormat="1" applyFont="1" applyFill="1" applyBorder="1" applyAlignment="1">
      <alignment horizontal="center" vertical="center"/>
    </xf>
    <xf numFmtId="178" fontId="9" fillId="0" borderId="0" xfId="2" applyNumberFormat="1" applyFont="1" applyFill="1" applyBorder="1" applyAlignment="1">
      <alignment horizontal="center" vertical="center"/>
    </xf>
    <xf numFmtId="0" fontId="10" fillId="0" borderId="0" xfId="2" applyFont="1" applyFill="1" applyBorder="1" applyAlignment="1">
      <alignment horizontal="left" vertical="center"/>
    </xf>
    <xf numFmtId="0" fontId="5" fillId="6" borderId="3" xfId="2" applyFont="1" applyFill="1" applyBorder="1" applyAlignment="1">
      <alignment horizontal="center" vertical="center" wrapText="1"/>
    </xf>
    <xf numFmtId="176" fontId="5" fillId="6" borderId="3" xfId="3" applyNumberFormat="1" applyFont="1" applyFill="1" applyBorder="1" applyAlignment="1">
      <alignment horizontal="center" vertical="center" wrapText="1"/>
    </xf>
    <xf numFmtId="177" fontId="5" fillId="6" borderId="3" xfId="2" applyNumberFormat="1" applyFont="1" applyFill="1" applyBorder="1" applyAlignment="1">
      <alignment horizontal="center" vertical="center" wrapText="1"/>
    </xf>
    <xf numFmtId="49" fontId="3" fillId="6" borderId="3" xfId="2" applyNumberFormat="1" applyFont="1" applyFill="1" applyBorder="1" applyAlignment="1">
      <alignment horizontal="center" vertical="center" wrapText="1"/>
    </xf>
    <xf numFmtId="49" fontId="5" fillId="6" borderId="3" xfId="3" applyNumberFormat="1" applyFont="1" applyFill="1" applyBorder="1" applyAlignment="1">
      <alignment horizontal="center" vertical="center" wrapText="1"/>
    </xf>
    <xf numFmtId="176" fontId="5" fillId="6" borderId="0" xfId="2" applyNumberFormat="1" applyFont="1" applyFill="1" applyBorder="1" applyAlignment="1">
      <alignment vertical="center" wrapText="1"/>
    </xf>
    <xf numFmtId="0" fontId="5" fillId="6" borderId="0" xfId="2" applyFont="1" applyFill="1" applyBorder="1" applyAlignment="1">
      <alignment horizontal="center" vertical="center"/>
    </xf>
    <xf numFmtId="178" fontId="5" fillId="6" borderId="1" xfId="2" applyNumberFormat="1" applyFont="1" applyFill="1" applyBorder="1" applyAlignment="1">
      <alignment vertical="center" wrapText="1"/>
    </xf>
    <xf numFmtId="176" fontId="9" fillId="0" borderId="0" xfId="2" applyNumberFormat="1" applyFont="1" applyFill="1" applyBorder="1" applyAlignment="1">
      <alignment vertical="center" wrapText="1"/>
    </xf>
    <xf numFmtId="0" fontId="14" fillId="0" borderId="0" xfId="0" applyFont="1">
      <alignment vertical="center"/>
    </xf>
    <xf numFmtId="0" fontId="9" fillId="0" borderId="0" xfId="4" applyFont="1" applyAlignment="1"/>
    <xf numFmtId="0" fontId="9" fillId="0" borderId="0" xfId="3" applyFont="1" applyFill="1" applyBorder="1" applyAlignment="1"/>
    <xf numFmtId="0" fontId="9" fillId="0" borderId="0" xfId="3" applyFont="1" applyFill="1" applyBorder="1" applyAlignment="1">
      <alignment horizontal="left"/>
    </xf>
    <xf numFmtId="0" fontId="8" fillId="0" borderId="0" xfId="4">
      <alignment vertical="center"/>
    </xf>
    <xf numFmtId="0" fontId="9" fillId="0" borderId="0" xfId="4" applyFont="1" applyAlignment="1">
      <alignment horizontal="center"/>
    </xf>
    <xf numFmtId="0" fontId="9" fillId="0" borderId="0" xfId="4" applyFont="1" applyAlignment="1">
      <alignment horizontal="center" vertical="center"/>
    </xf>
    <xf numFmtId="14" fontId="9" fillId="0" borderId="0" xfId="4" applyNumberFormat="1" applyFont="1" applyAlignment="1">
      <alignment horizontal="center" vertical="center"/>
    </xf>
    <xf numFmtId="178" fontId="9" fillId="0" borderId="0" xfId="4" applyNumberFormat="1" applyFont="1" applyAlignment="1"/>
    <xf numFmtId="14" fontId="13" fillId="7" borderId="1" xfId="5" applyNumberFormat="1" applyFont="1" applyFill="1" applyBorder="1" applyAlignment="1">
      <alignment horizontal="center" vertical="center"/>
    </xf>
    <xf numFmtId="178" fontId="1" fillId="0" borderId="5" xfId="1" applyNumberFormat="1" applyFill="1" applyBorder="1" applyAlignment="1" applyProtection="1">
      <alignment vertical="center" wrapText="1"/>
    </xf>
    <xf numFmtId="0" fontId="9" fillId="0" borderId="3" xfId="2" quotePrefix="1" applyFont="1" applyFill="1" applyBorder="1" applyAlignment="1">
      <alignment horizontal="center" vertical="center" wrapText="1"/>
    </xf>
    <xf numFmtId="178" fontId="10" fillId="0" borderId="1" xfId="2" applyNumberFormat="1" applyFont="1" applyFill="1" applyBorder="1" applyAlignment="1">
      <alignment vertical="center" wrapText="1"/>
    </xf>
    <xf numFmtId="178" fontId="12" fillId="9" borderId="3" xfId="2" applyNumberFormat="1" applyFont="1" applyFill="1" applyBorder="1" applyAlignment="1">
      <alignment horizontal="center" vertical="center" wrapText="1"/>
    </xf>
    <xf numFmtId="178" fontId="9" fillId="0" borderId="0" xfId="2" applyNumberFormat="1" applyFont="1" applyFill="1" applyBorder="1" applyAlignment="1">
      <alignment vertical="center" wrapText="1"/>
    </xf>
    <xf numFmtId="179" fontId="9" fillId="0" borderId="3" xfId="2" applyNumberFormat="1" applyFont="1" applyFill="1" applyBorder="1" applyAlignment="1">
      <alignment horizontal="center" vertical="center" wrapText="1"/>
    </xf>
    <xf numFmtId="179" fontId="9" fillId="0" borderId="3" xfId="2" applyNumberFormat="1" applyFont="1" applyFill="1" applyBorder="1" applyAlignment="1">
      <alignment horizontal="center" vertical="center" wrapText="1"/>
    </xf>
    <xf numFmtId="179" fontId="9" fillId="0" borderId="3" xfId="2" applyNumberFormat="1" applyFont="1" applyFill="1" applyBorder="1" applyAlignment="1">
      <alignment horizontal="center" vertical="center" wrapText="1"/>
    </xf>
    <xf numFmtId="179" fontId="12" fillId="9" borderId="3" xfId="2" applyNumberFormat="1" applyFont="1" applyFill="1" applyBorder="1" applyAlignment="1">
      <alignment horizontal="center" vertical="center" wrapText="1"/>
    </xf>
    <xf numFmtId="179" fontId="9" fillId="0" borderId="3" xfId="2" applyNumberFormat="1" applyFont="1" applyFill="1" applyBorder="1" applyAlignment="1">
      <alignment horizontal="center" vertical="center" wrapText="1"/>
    </xf>
    <xf numFmtId="177" fontId="12" fillId="9" borderId="3" xfId="2" applyNumberFormat="1" applyFont="1" applyFill="1" applyBorder="1" applyAlignment="1">
      <alignment horizontal="center" vertical="center" wrapText="1"/>
    </xf>
    <xf numFmtId="179" fontId="9" fillId="0" borderId="3" xfId="2" applyNumberFormat="1" applyFont="1" applyFill="1" applyBorder="1" applyAlignment="1">
      <alignment horizontal="center" vertical="center" wrapText="1"/>
    </xf>
    <xf numFmtId="0" fontId="5" fillId="0" borderId="0" xfId="3" applyNumberFormat="1" applyFont="1" applyFill="1" applyBorder="1" applyAlignment="1">
      <alignment horizontal="center" vertical="center"/>
    </xf>
    <xf numFmtId="0" fontId="9" fillId="0" borderId="0" xfId="4" applyFont="1" applyFill="1" applyBorder="1" applyAlignment="1">
      <alignment horizontal="center" vertical="center" wrapText="1"/>
    </xf>
    <xf numFmtId="0" fontId="14" fillId="0" borderId="0" xfId="0" applyFont="1" applyFill="1">
      <alignment vertical="center"/>
    </xf>
    <xf numFmtId="179" fontId="9" fillId="0" borderId="3" xfId="2" applyNumberFormat="1" applyFont="1" applyFill="1" applyBorder="1" applyAlignment="1">
      <alignment horizontal="center" vertical="center" wrapText="1"/>
    </xf>
    <xf numFmtId="177" fontId="9" fillId="0" borderId="1" xfId="2" applyNumberFormat="1" applyFont="1" applyFill="1" applyBorder="1" applyAlignment="1">
      <alignment horizontal="center" vertical="center" wrapText="1"/>
    </xf>
    <xf numFmtId="179" fontId="9" fillId="0" borderId="3" xfId="2" applyNumberFormat="1" applyFont="1" applyFill="1" applyBorder="1" applyAlignment="1">
      <alignment horizontal="center" vertical="center" wrapText="1"/>
    </xf>
    <xf numFmtId="179" fontId="9" fillId="0" borderId="3" xfId="2" applyNumberFormat="1" applyFont="1" applyFill="1" applyBorder="1" applyAlignment="1">
      <alignment horizontal="center" vertical="center" wrapText="1"/>
    </xf>
    <xf numFmtId="179" fontId="9" fillId="0" borderId="3" xfId="2" applyNumberFormat="1" applyFont="1" applyFill="1" applyBorder="1" applyAlignment="1">
      <alignment horizontal="center" vertical="center" wrapText="1"/>
    </xf>
    <xf numFmtId="178" fontId="5" fillId="6" borderId="4" xfId="2" applyNumberFormat="1" applyFont="1" applyFill="1" applyBorder="1" applyAlignment="1">
      <alignment horizontal="center" vertical="center" wrapText="1"/>
    </xf>
    <xf numFmtId="178" fontId="5" fillId="6" borderId="0" xfId="2" applyNumberFormat="1" applyFont="1" applyFill="1" applyBorder="1" applyAlignment="1">
      <alignment horizontal="center" vertical="center" wrapText="1"/>
    </xf>
    <xf numFmtId="179" fontId="9" fillId="0" borderId="6" xfId="2" applyNumberFormat="1" applyFont="1" applyFill="1" applyBorder="1" applyAlignment="1">
      <alignment horizontal="center" vertical="center" wrapText="1"/>
    </xf>
    <xf numFmtId="179" fontId="9" fillId="0" borderId="3" xfId="2" applyNumberFormat="1" applyFont="1" applyFill="1" applyBorder="1" applyAlignment="1">
      <alignment horizontal="center" vertical="center" wrapText="1"/>
    </xf>
  </cellXfs>
  <cellStyles count="7">
    <cellStyle name="60% - 輔色1 2" xfId="6" xr:uid="{00000000-0005-0000-0000-000000000000}"/>
    <cellStyle name="一般" xfId="0" builtinId="0"/>
    <cellStyle name="一般 3" xfId="4" xr:uid="{00000000-0005-0000-0000-000002000000}"/>
    <cellStyle name="中等 2" xfId="3" xr:uid="{00000000-0005-0000-0000-000003000000}"/>
    <cellStyle name="超連結" xfId="1" builtinId="8"/>
    <cellStyle name="輔色1 2" xfId="2" xr:uid="{00000000-0005-0000-0000-000005000000}"/>
    <cellStyle name="壞 2" xfId="5" xr:uid="{00000000-0005-0000-0000-000006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&#29694;&#22686;1100&#33836;&#32929;@56&#20803;" TargetMode="External"/><Relationship Id="rId3" Type="http://schemas.openxmlformats.org/officeDocument/2006/relationships/hyperlink" Target="mailto:&#29694;&#22686;200&#33836;&#32929;@50&#20803;" TargetMode="External"/><Relationship Id="rId7" Type="http://schemas.openxmlformats.org/officeDocument/2006/relationships/hyperlink" Target="mailto:&#29694;&#22686;300&#33836;&#32929;@400&#20803;" TargetMode="External"/><Relationship Id="rId2" Type="http://schemas.openxmlformats.org/officeDocument/2006/relationships/hyperlink" Target="mailto:&#29694;&#22686;312.5&#33836;&#32929;@50&#20803;" TargetMode="External"/><Relationship Id="rId1" Type="http://schemas.openxmlformats.org/officeDocument/2006/relationships/hyperlink" Target="mailto:&#29694;&#22686;4000&#33836;&#32929;@65&#20803;" TargetMode="External"/><Relationship Id="rId6" Type="http://schemas.openxmlformats.org/officeDocument/2006/relationships/hyperlink" Target="mailto:&#29694;&#22686;2372&#33836;&#32929;@60&#20803;" TargetMode="External"/><Relationship Id="rId5" Type="http://schemas.openxmlformats.org/officeDocument/2006/relationships/hyperlink" Target="mailto:&#29694;&#22686;2372&#33836;&#32929;@60&#20803;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&#29694;&#22686;200&#33836;&#32929;@25&#20803;" TargetMode="External"/><Relationship Id="rId9" Type="http://schemas.openxmlformats.org/officeDocument/2006/relationships/hyperlink" Target="mailto:&#29694;&#22686;400&#33836;&#32929;@50&#20803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N79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1" sqref="A11:XFD55"/>
    </sheetView>
  </sheetViews>
  <sheetFormatPr defaultRowHeight="16.5"/>
  <cols>
    <col min="2" max="2" width="12.625" customWidth="1"/>
    <col min="7" max="7" width="14" customWidth="1"/>
    <col min="8" max="8" width="22.375" customWidth="1"/>
    <col min="9" max="9" width="11.25" bestFit="1" customWidth="1"/>
    <col min="11" max="11" width="9.875" customWidth="1"/>
    <col min="12" max="12" width="21.375" bestFit="1" customWidth="1"/>
    <col min="13" max="14" width="6.75" bestFit="1" customWidth="1"/>
    <col min="15" max="15" width="18.5" bestFit="1" customWidth="1"/>
    <col min="16" max="17" width="11.125" bestFit="1" customWidth="1"/>
    <col min="21" max="21" width="52.75" bestFit="1" customWidth="1"/>
  </cols>
  <sheetData>
    <row r="1" spans="1:222">
      <c r="A1" s="62" t="s">
        <v>59</v>
      </c>
      <c r="B1" s="62"/>
      <c r="C1" s="62"/>
      <c r="D1" s="62"/>
      <c r="E1" s="62"/>
      <c r="F1" s="62"/>
      <c r="G1" s="62"/>
      <c r="H1" s="62"/>
      <c r="I1" s="63"/>
      <c r="J1" s="64"/>
      <c r="K1" s="62"/>
      <c r="L1" s="62"/>
      <c r="M1" s="62"/>
      <c r="N1" s="62"/>
      <c r="O1" s="62"/>
      <c r="P1" s="62"/>
      <c r="Q1" s="62"/>
      <c r="R1" s="62"/>
      <c r="S1" s="65"/>
      <c r="T1" s="66"/>
      <c r="U1" s="65"/>
      <c r="V1" s="67"/>
      <c r="W1" s="67"/>
      <c r="X1" s="21"/>
      <c r="Y1" s="67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8"/>
      <c r="AK1" s="67"/>
      <c r="AL1" s="67"/>
      <c r="AM1" s="21"/>
      <c r="AN1" s="67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8"/>
      <c r="BD1" s="67"/>
      <c r="BE1" s="67"/>
      <c r="BF1" s="21"/>
      <c r="BG1" s="67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8"/>
      <c r="BW1" s="67"/>
      <c r="BX1" s="67"/>
      <c r="BY1" s="21"/>
      <c r="BZ1" s="67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8"/>
      <c r="CP1" s="67"/>
      <c r="CQ1" s="67"/>
      <c r="CR1" s="21"/>
      <c r="CS1" s="67"/>
      <c r="CT1" s="62"/>
      <c r="CU1" s="62"/>
      <c r="CV1" s="62"/>
      <c r="CW1" s="62"/>
      <c r="CX1" s="62"/>
      <c r="CY1" s="62"/>
      <c r="CZ1" s="62"/>
      <c r="DA1" s="62"/>
      <c r="DB1" s="62"/>
      <c r="DC1" s="62"/>
      <c r="DD1" s="62"/>
      <c r="DE1" s="62"/>
      <c r="DF1" s="62"/>
      <c r="DG1" s="62"/>
      <c r="DH1" s="68"/>
      <c r="DI1" s="67"/>
      <c r="DJ1" s="67"/>
      <c r="DK1" s="21"/>
      <c r="DL1" s="67"/>
      <c r="DM1" s="62"/>
      <c r="DN1" s="62"/>
      <c r="DO1" s="62"/>
      <c r="DP1" s="62"/>
      <c r="DQ1" s="62"/>
      <c r="DR1" s="62"/>
      <c r="DS1" s="62"/>
      <c r="DT1" s="62"/>
      <c r="DU1" s="62"/>
      <c r="DV1" s="62"/>
      <c r="DW1" s="62"/>
      <c r="DX1" s="62"/>
      <c r="DY1" s="62"/>
      <c r="DZ1" s="62"/>
      <c r="EA1" s="68"/>
      <c r="EB1" s="67"/>
      <c r="EC1" s="67"/>
      <c r="ED1" s="21"/>
      <c r="EE1" s="67"/>
      <c r="EF1" s="62"/>
      <c r="EG1" s="62"/>
      <c r="EH1" s="62"/>
      <c r="EI1" s="62"/>
      <c r="EJ1" s="62"/>
      <c r="EK1" s="62"/>
      <c r="EL1" s="62"/>
      <c r="EM1" s="62"/>
      <c r="EN1" s="62"/>
      <c r="EO1" s="62"/>
      <c r="EP1" s="62"/>
      <c r="EQ1" s="62"/>
      <c r="ER1" s="62"/>
      <c r="ES1" s="62"/>
      <c r="ET1" s="68"/>
      <c r="EU1" s="67"/>
      <c r="EV1" s="67"/>
      <c r="EW1" s="21"/>
      <c r="EX1" s="67"/>
      <c r="EY1" s="62"/>
      <c r="EZ1" s="62"/>
      <c r="FA1" s="62"/>
      <c r="FB1" s="62"/>
      <c r="FC1" s="62"/>
      <c r="FD1" s="62"/>
      <c r="FE1" s="62"/>
      <c r="FF1" s="62"/>
      <c r="FG1" s="62"/>
      <c r="FH1" s="62"/>
      <c r="FI1" s="62"/>
      <c r="FJ1" s="62"/>
      <c r="FK1" s="62"/>
      <c r="FL1" s="62"/>
      <c r="FM1" s="68"/>
      <c r="FN1" s="67"/>
      <c r="FO1" s="67"/>
      <c r="FP1" s="21"/>
      <c r="FQ1" s="67"/>
      <c r="FR1" s="62"/>
      <c r="FS1" s="62"/>
      <c r="FT1" s="62"/>
      <c r="FU1" s="62"/>
      <c r="FV1" s="62"/>
      <c r="FW1" s="62"/>
      <c r="FX1" s="62"/>
      <c r="FY1" s="62"/>
      <c r="FZ1" s="62"/>
      <c r="GA1" s="62"/>
      <c r="GB1" s="62"/>
      <c r="GC1" s="62"/>
      <c r="GD1" s="62"/>
      <c r="GE1" s="62"/>
      <c r="GF1" s="68"/>
      <c r="GG1" s="67"/>
      <c r="GH1" s="67"/>
      <c r="GI1" s="21"/>
      <c r="GJ1" s="67"/>
      <c r="GK1" s="62"/>
      <c r="GL1" s="62"/>
      <c r="GM1" s="62"/>
      <c r="GN1" s="62"/>
      <c r="GO1" s="62"/>
      <c r="GP1" s="62"/>
      <c r="GQ1" s="62"/>
      <c r="GR1" s="62"/>
      <c r="GS1" s="62"/>
      <c r="GT1" s="62"/>
      <c r="GU1" s="62"/>
      <c r="GV1" s="62"/>
      <c r="GW1" s="62"/>
      <c r="GX1" s="62"/>
      <c r="GY1" s="68"/>
      <c r="GZ1" s="67"/>
      <c r="HA1" s="67"/>
      <c r="HB1" s="21"/>
      <c r="HC1" s="67"/>
      <c r="HD1" s="62"/>
      <c r="HE1" s="62"/>
      <c r="HF1" s="62"/>
      <c r="HG1" s="62"/>
      <c r="HH1" s="62"/>
      <c r="HI1" s="62"/>
      <c r="HJ1" s="62"/>
      <c r="HK1" s="62"/>
      <c r="HL1" s="62"/>
      <c r="HM1" s="62"/>
      <c r="HN1" s="62"/>
    </row>
    <row r="2" spans="1:222">
      <c r="A2" s="62"/>
      <c r="B2" s="66"/>
      <c r="C2" s="62"/>
      <c r="D2" s="68"/>
      <c r="E2" s="66"/>
      <c r="F2" s="62"/>
      <c r="G2" s="62"/>
      <c r="H2" s="62"/>
      <c r="I2" s="63"/>
      <c r="J2" s="64"/>
      <c r="K2" s="69"/>
      <c r="L2" s="66"/>
      <c r="M2" s="62"/>
      <c r="N2" s="62"/>
      <c r="O2" s="67" t="s">
        <v>60</v>
      </c>
      <c r="P2" s="68">
        <f ca="1">TODAY()</f>
        <v>46216</v>
      </c>
      <c r="Q2" s="68"/>
      <c r="R2" s="68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  <c r="DL2" s="65"/>
      <c r="DM2" s="65"/>
      <c r="DN2" s="65"/>
      <c r="DO2" s="65"/>
      <c r="DP2" s="65"/>
      <c r="DQ2" s="65"/>
      <c r="DR2" s="65"/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5"/>
      <c r="ED2" s="65"/>
      <c r="EE2" s="65"/>
      <c r="EF2" s="65"/>
      <c r="EG2" s="65"/>
      <c r="EH2" s="65"/>
      <c r="EI2" s="65"/>
      <c r="EJ2" s="65"/>
      <c r="EK2" s="65"/>
      <c r="EL2" s="65"/>
      <c r="EM2" s="65"/>
      <c r="EN2" s="65"/>
      <c r="EO2" s="65"/>
      <c r="EP2" s="65"/>
      <c r="EQ2" s="65"/>
      <c r="ER2" s="65"/>
      <c r="ES2" s="65"/>
      <c r="ET2" s="65"/>
      <c r="EU2" s="65"/>
      <c r="EV2" s="65"/>
      <c r="EW2" s="65"/>
      <c r="EX2" s="65"/>
      <c r="EY2" s="65"/>
      <c r="EZ2" s="65"/>
      <c r="FA2" s="65"/>
      <c r="FB2" s="65"/>
      <c r="FC2" s="65"/>
      <c r="FD2" s="65"/>
      <c r="FE2" s="65"/>
      <c r="FF2" s="65"/>
      <c r="FG2" s="65"/>
      <c r="FH2" s="65"/>
      <c r="FI2" s="65"/>
      <c r="FJ2" s="65"/>
      <c r="FK2" s="65"/>
      <c r="FL2" s="65"/>
      <c r="FM2" s="65"/>
      <c r="FN2" s="65"/>
      <c r="FO2" s="65"/>
      <c r="FP2" s="65"/>
      <c r="FQ2" s="65"/>
      <c r="FR2" s="65"/>
      <c r="FS2" s="65"/>
      <c r="FT2" s="65"/>
      <c r="FU2" s="65"/>
      <c r="FV2" s="65"/>
      <c r="FW2" s="65"/>
      <c r="FX2" s="65"/>
      <c r="FY2" s="65"/>
      <c r="FZ2" s="65"/>
      <c r="GA2" s="65"/>
      <c r="GB2" s="65"/>
      <c r="GC2" s="65"/>
      <c r="GD2" s="65"/>
      <c r="GE2" s="65"/>
      <c r="GF2" s="65"/>
      <c r="GG2" s="65"/>
      <c r="GH2" s="65"/>
      <c r="GI2" s="65"/>
      <c r="GJ2" s="65"/>
      <c r="GK2" s="65"/>
      <c r="GL2" s="65"/>
      <c r="GM2" s="65"/>
      <c r="GN2" s="65"/>
      <c r="GO2" s="65"/>
      <c r="GP2" s="65"/>
      <c r="GQ2" s="65"/>
      <c r="GR2" s="65"/>
      <c r="GS2" s="65"/>
      <c r="GT2" s="65"/>
      <c r="GU2" s="65"/>
      <c r="GV2" s="65"/>
      <c r="GW2" s="65"/>
      <c r="GX2" s="65"/>
      <c r="GY2" s="65"/>
      <c r="GZ2" s="65"/>
      <c r="HA2" s="65"/>
      <c r="HB2" s="65"/>
      <c r="HC2" s="65"/>
      <c r="HD2" s="65"/>
      <c r="HE2" s="65"/>
      <c r="HF2" s="65"/>
      <c r="HG2" s="65"/>
      <c r="HH2" s="65"/>
      <c r="HI2" s="65"/>
      <c r="HJ2" s="65"/>
      <c r="HK2" s="65"/>
      <c r="HL2" s="65"/>
      <c r="HM2" s="65"/>
      <c r="HN2" s="65"/>
    </row>
    <row r="3" spans="1:222" ht="33">
      <c r="A3" s="1" t="s">
        <v>0</v>
      </c>
      <c r="B3" s="1" t="s">
        <v>1</v>
      </c>
      <c r="C3" s="2" t="s">
        <v>2</v>
      </c>
      <c r="D3" s="3" t="s">
        <v>3</v>
      </c>
      <c r="E3" s="4" t="s">
        <v>4</v>
      </c>
      <c r="F3" s="5" t="s">
        <v>5</v>
      </c>
      <c r="G3" s="5" t="s">
        <v>6</v>
      </c>
      <c r="H3" s="6" t="s">
        <v>7</v>
      </c>
      <c r="I3" s="7" t="s">
        <v>8</v>
      </c>
      <c r="J3" s="2" t="s">
        <v>9</v>
      </c>
      <c r="K3" s="2" t="s">
        <v>10</v>
      </c>
      <c r="L3" s="1" t="s">
        <v>11</v>
      </c>
      <c r="M3" s="8" t="s">
        <v>12</v>
      </c>
      <c r="N3" s="8" t="s">
        <v>13</v>
      </c>
      <c r="O3" s="1" t="s">
        <v>14</v>
      </c>
      <c r="P3" s="8" t="s">
        <v>15</v>
      </c>
      <c r="Q3" s="8" t="s">
        <v>16</v>
      </c>
      <c r="R3" s="3" t="s">
        <v>17</v>
      </c>
      <c r="S3" s="2" t="s">
        <v>18</v>
      </c>
      <c r="T3" s="9" t="s">
        <v>19</v>
      </c>
      <c r="U3" s="10" t="s">
        <v>20</v>
      </c>
    </row>
    <row r="4" spans="1:222" s="61" customFormat="1" hidden="1">
      <c r="A4" s="28">
        <v>811211</v>
      </c>
      <c r="B4" s="28" t="s">
        <v>111</v>
      </c>
      <c r="C4" s="28">
        <v>6</v>
      </c>
      <c r="D4" s="26" t="s">
        <v>22</v>
      </c>
      <c r="E4" s="82">
        <v>20</v>
      </c>
      <c r="F4" s="82">
        <v>5</v>
      </c>
      <c r="G4" s="33">
        <v>100.2</v>
      </c>
      <c r="H4" s="12" t="s">
        <v>28</v>
      </c>
      <c r="I4" s="13" t="s">
        <v>173</v>
      </c>
      <c r="J4" s="31">
        <v>95.3</v>
      </c>
      <c r="K4" s="14">
        <f t="shared" ref="K4:K17" si="0">S4/J4</f>
        <v>0.93913955928646387</v>
      </c>
      <c r="L4" s="15" t="s">
        <v>154</v>
      </c>
      <c r="M4" s="19">
        <v>46162</v>
      </c>
      <c r="N4" s="16">
        <v>46178</v>
      </c>
      <c r="O4" s="36" t="s">
        <v>155</v>
      </c>
      <c r="P4" s="35">
        <v>46196</v>
      </c>
      <c r="Q4" s="70">
        <v>46203</v>
      </c>
      <c r="R4" s="17">
        <v>55.52</v>
      </c>
      <c r="S4" s="11">
        <v>89.5</v>
      </c>
      <c r="T4" s="29">
        <v>112</v>
      </c>
      <c r="U4" s="30" t="s">
        <v>130</v>
      </c>
    </row>
    <row r="5" spans="1:222" s="61" customFormat="1" hidden="1">
      <c r="A5" s="28">
        <v>65463</v>
      </c>
      <c r="B5" s="28" t="s">
        <v>79</v>
      </c>
      <c r="C5" s="72">
        <v>6</v>
      </c>
      <c r="D5" s="24" t="s">
        <v>21</v>
      </c>
      <c r="E5" s="82">
        <v>2</v>
      </c>
      <c r="F5" s="82">
        <v>3</v>
      </c>
      <c r="G5" s="74">
        <v>111.05</v>
      </c>
      <c r="H5" s="12" t="s">
        <v>28</v>
      </c>
      <c r="I5" s="13" t="s">
        <v>158</v>
      </c>
      <c r="J5" s="31">
        <v>81.5</v>
      </c>
      <c r="K5" s="14">
        <f t="shared" si="0"/>
        <v>1.3233128834355827</v>
      </c>
      <c r="L5" s="15" t="s">
        <v>77</v>
      </c>
      <c r="M5" s="19">
        <v>46140</v>
      </c>
      <c r="N5" s="16">
        <v>46157</v>
      </c>
      <c r="O5" s="36" t="s">
        <v>159</v>
      </c>
      <c r="P5" s="35">
        <v>46203</v>
      </c>
      <c r="Q5" s="70">
        <v>46210</v>
      </c>
      <c r="R5" s="17">
        <v>6.68</v>
      </c>
      <c r="S5" s="11">
        <v>107.85</v>
      </c>
      <c r="T5" s="29">
        <v>107.85</v>
      </c>
      <c r="U5" s="73" t="s">
        <v>176</v>
      </c>
    </row>
    <row r="6" spans="1:222" s="61" customFormat="1" hidden="1">
      <c r="A6" s="28">
        <v>41904</v>
      </c>
      <c r="B6" s="28" t="s">
        <v>83</v>
      </c>
      <c r="C6" s="28">
        <v>7</v>
      </c>
      <c r="D6" s="24" t="s">
        <v>21</v>
      </c>
      <c r="E6" s="82">
        <v>6</v>
      </c>
      <c r="F6" s="82">
        <v>3</v>
      </c>
      <c r="G6" s="82">
        <v>100</v>
      </c>
      <c r="H6" s="12" t="s">
        <v>84</v>
      </c>
      <c r="I6" s="13" t="s">
        <v>160</v>
      </c>
      <c r="J6" s="31">
        <v>26.6</v>
      </c>
      <c r="K6" s="14">
        <f t="shared" si="0"/>
        <v>3.8345864661654132</v>
      </c>
      <c r="L6" s="15" t="s">
        <v>161</v>
      </c>
      <c r="M6" s="19">
        <v>46149</v>
      </c>
      <c r="N6" s="16">
        <v>46177</v>
      </c>
      <c r="O6" s="36" t="s">
        <v>159</v>
      </c>
      <c r="P6" s="35">
        <v>46203</v>
      </c>
      <c r="Q6" s="70">
        <v>46210</v>
      </c>
      <c r="R6" s="17">
        <v>6.14</v>
      </c>
      <c r="S6" s="11">
        <v>102</v>
      </c>
      <c r="T6" s="29">
        <v>102</v>
      </c>
      <c r="U6" s="73" t="s">
        <v>177</v>
      </c>
    </row>
    <row r="7" spans="1:222" s="61" customFormat="1" hidden="1">
      <c r="A7" s="28">
        <v>52892</v>
      </c>
      <c r="B7" s="28" t="s">
        <v>66</v>
      </c>
      <c r="C7" s="28">
        <v>3</v>
      </c>
      <c r="D7" s="24" t="s">
        <v>21</v>
      </c>
      <c r="E7" s="82">
        <v>30</v>
      </c>
      <c r="F7" s="82">
        <v>3</v>
      </c>
      <c r="G7" s="81">
        <v>125.7</v>
      </c>
      <c r="H7" s="12" t="s">
        <v>28</v>
      </c>
      <c r="I7" s="13" t="s">
        <v>162</v>
      </c>
      <c r="J7" s="31">
        <v>2180</v>
      </c>
      <c r="K7" s="14">
        <f t="shared" si="0"/>
        <v>0.75458715596330272</v>
      </c>
      <c r="L7" s="15" t="s">
        <v>61</v>
      </c>
      <c r="M7" s="19">
        <v>46146</v>
      </c>
      <c r="N7" s="16">
        <v>46162</v>
      </c>
      <c r="O7" s="36" t="s">
        <v>163</v>
      </c>
      <c r="P7" s="35">
        <v>46204</v>
      </c>
      <c r="Q7" s="70">
        <v>46211</v>
      </c>
      <c r="R7" s="17">
        <v>9.6039999999999992</v>
      </c>
      <c r="S7" s="11">
        <v>1645</v>
      </c>
      <c r="T7" s="29">
        <v>121.3</v>
      </c>
      <c r="U7" s="73" t="s">
        <v>193</v>
      </c>
    </row>
    <row r="8" spans="1:222" s="61" customFormat="1" hidden="1">
      <c r="A8" s="28">
        <v>61876</v>
      </c>
      <c r="B8" s="28" t="s">
        <v>90</v>
      </c>
      <c r="C8" s="28">
        <v>5</v>
      </c>
      <c r="D8" s="24" t="s">
        <v>21</v>
      </c>
      <c r="E8" s="82">
        <v>30</v>
      </c>
      <c r="F8" s="82">
        <v>3</v>
      </c>
      <c r="G8" s="81">
        <v>140.19999999999999</v>
      </c>
      <c r="H8" s="12" t="s">
        <v>29</v>
      </c>
      <c r="I8" s="13" t="s">
        <v>162</v>
      </c>
      <c r="J8" s="31">
        <v>1150</v>
      </c>
      <c r="K8" s="14">
        <f t="shared" si="0"/>
        <v>0.9</v>
      </c>
      <c r="L8" s="15" t="s">
        <v>61</v>
      </c>
      <c r="M8" s="19">
        <v>46164</v>
      </c>
      <c r="N8" s="16">
        <v>46182</v>
      </c>
      <c r="O8" s="36" t="s">
        <v>174</v>
      </c>
      <c r="P8" s="35">
        <v>46205</v>
      </c>
      <c r="Q8" s="70">
        <v>46212</v>
      </c>
      <c r="R8" s="17">
        <v>9.75</v>
      </c>
      <c r="S8" s="11">
        <v>1035</v>
      </c>
      <c r="T8" s="29">
        <v>139.94999999999999</v>
      </c>
      <c r="U8" s="73" t="s">
        <v>194</v>
      </c>
    </row>
    <row r="9" spans="1:222" s="61" customFormat="1" hidden="1">
      <c r="A9" s="28">
        <v>80962</v>
      </c>
      <c r="B9" s="28" t="s">
        <v>109</v>
      </c>
      <c r="C9" s="28">
        <v>6</v>
      </c>
      <c r="D9" s="26" t="s">
        <v>22</v>
      </c>
      <c r="E9" s="82">
        <v>8</v>
      </c>
      <c r="F9" s="82">
        <v>3</v>
      </c>
      <c r="G9" s="79">
        <v>101</v>
      </c>
      <c r="H9" s="12" t="s">
        <v>27</v>
      </c>
      <c r="I9" s="13" t="s">
        <v>198</v>
      </c>
      <c r="J9" s="31">
        <v>158</v>
      </c>
      <c r="K9" s="14">
        <f t="shared" si="0"/>
        <v>1.0601265822784811</v>
      </c>
      <c r="L9" s="15" t="s">
        <v>62</v>
      </c>
      <c r="M9" s="19">
        <v>46170</v>
      </c>
      <c r="N9" s="16">
        <v>46188</v>
      </c>
      <c r="O9" s="36" t="s">
        <v>178</v>
      </c>
      <c r="P9" s="35">
        <v>46205</v>
      </c>
      <c r="Q9" s="70">
        <v>46212</v>
      </c>
      <c r="R9" s="17">
        <v>14.93</v>
      </c>
      <c r="S9" s="11">
        <v>167.5</v>
      </c>
      <c r="T9" s="29">
        <v>121.5</v>
      </c>
      <c r="U9" s="73"/>
    </row>
    <row r="10" spans="1:222" s="61" customFormat="1" hidden="1">
      <c r="A10" s="28">
        <v>65843</v>
      </c>
      <c r="B10" s="28" t="s">
        <v>118</v>
      </c>
      <c r="C10" s="28">
        <v>6</v>
      </c>
      <c r="D10" s="26" t="s">
        <v>22</v>
      </c>
      <c r="E10" s="82">
        <v>8</v>
      </c>
      <c r="F10" s="82">
        <v>3</v>
      </c>
      <c r="G10" s="82">
        <v>100</v>
      </c>
      <c r="H10" s="12" t="s">
        <v>28</v>
      </c>
      <c r="I10" s="13" t="s">
        <v>199</v>
      </c>
      <c r="J10" s="31">
        <v>685</v>
      </c>
      <c r="K10" s="14">
        <f t="shared" si="0"/>
        <v>1.0072992700729928</v>
      </c>
      <c r="L10" s="15" t="s">
        <v>179</v>
      </c>
      <c r="M10" s="19">
        <v>46169</v>
      </c>
      <c r="N10" s="16">
        <v>46185</v>
      </c>
      <c r="O10" s="36" t="s">
        <v>178</v>
      </c>
      <c r="P10" s="35">
        <v>46205</v>
      </c>
      <c r="Q10" s="70">
        <v>46212</v>
      </c>
      <c r="R10" s="17">
        <v>6.96</v>
      </c>
      <c r="S10" s="11">
        <v>690</v>
      </c>
      <c r="T10" s="29">
        <v>133.1</v>
      </c>
      <c r="U10" s="32"/>
    </row>
    <row r="11" spans="1:222" s="61" customFormat="1">
      <c r="A11" s="11">
        <v>36054</v>
      </c>
      <c r="B11" s="11" t="s">
        <v>64</v>
      </c>
      <c r="C11" s="11">
        <v>5</v>
      </c>
      <c r="D11" s="22" t="s">
        <v>22</v>
      </c>
      <c r="E11" s="12">
        <v>10</v>
      </c>
      <c r="F11" s="12">
        <v>3</v>
      </c>
      <c r="G11" s="87">
        <v>100.5</v>
      </c>
      <c r="H11" s="12" t="s">
        <v>28</v>
      </c>
      <c r="I11" s="13" t="s">
        <v>204</v>
      </c>
      <c r="J11" s="31">
        <v>88</v>
      </c>
      <c r="K11" s="14">
        <f t="shared" si="0"/>
        <v>1.0306818181818183</v>
      </c>
      <c r="L11" s="15" t="s">
        <v>62</v>
      </c>
      <c r="M11" s="19">
        <v>46022</v>
      </c>
      <c r="N11" s="16">
        <v>46041</v>
      </c>
      <c r="O11" s="36" t="s">
        <v>195</v>
      </c>
      <c r="P11" s="35">
        <v>46209</v>
      </c>
      <c r="Q11" s="70">
        <v>46217</v>
      </c>
      <c r="R11" s="17">
        <v>16.23</v>
      </c>
      <c r="S11" s="11">
        <v>90.7</v>
      </c>
      <c r="T11" s="29">
        <v>124.8</v>
      </c>
      <c r="U11" s="71" t="s">
        <v>65</v>
      </c>
    </row>
    <row r="12" spans="1:222" s="61" customFormat="1">
      <c r="A12" s="28">
        <v>80963</v>
      </c>
      <c r="B12" s="28" t="s">
        <v>110</v>
      </c>
      <c r="C12" s="28">
        <v>6</v>
      </c>
      <c r="D12" s="24" t="s">
        <v>21</v>
      </c>
      <c r="E12" s="90">
        <v>5</v>
      </c>
      <c r="F12" s="90">
        <v>3</v>
      </c>
      <c r="G12" s="81">
        <v>114.6</v>
      </c>
      <c r="H12" s="12" t="s">
        <v>27</v>
      </c>
      <c r="I12" s="13" t="s">
        <v>137</v>
      </c>
      <c r="J12" s="31">
        <v>150.5</v>
      </c>
      <c r="K12" s="14">
        <f t="shared" si="0"/>
        <v>1.1229235880398671</v>
      </c>
      <c r="L12" s="15" t="s">
        <v>62</v>
      </c>
      <c r="M12" s="19">
        <v>46170</v>
      </c>
      <c r="N12" s="16">
        <v>46188</v>
      </c>
      <c r="O12" s="36" t="s">
        <v>205</v>
      </c>
      <c r="P12" s="35">
        <v>46217</v>
      </c>
      <c r="Q12" s="70">
        <v>46224</v>
      </c>
      <c r="R12" s="17">
        <v>14.93</v>
      </c>
      <c r="S12" s="11">
        <v>169</v>
      </c>
      <c r="T12" s="29"/>
      <c r="U12" s="73" t="s">
        <v>214</v>
      </c>
    </row>
    <row r="13" spans="1:222" s="61" customFormat="1">
      <c r="A13" s="28">
        <v>16231</v>
      </c>
      <c r="B13" s="28" t="s">
        <v>145</v>
      </c>
      <c r="C13" s="28">
        <v>7</v>
      </c>
      <c r="D13" s="26" t="s">
        <v>22</v>
      </c>
      <c r="E13" s="90">
        <v>20</v>
      </c>
      <c r="F13" s="90">
        <v>3</v>
      </c>
      <c r="G13" s="33">
        <v>100.5</v>
      </c>
      <c r="H13" s="12" t="s">
        <v>146</v>
      </c>
      <c r="I13" s="13" t="s">
        <v>234</v>
      </c>
      <c r="J13" s="31">
        <v>232</v>
      </c>
      <c r="K13" s="14">
        <f t="shared" si="0"/>
        <v>0.98491379310344829</v>
      </c>
      <c r="L13" s="15" t="s">
        <v>164</v>
      </c>
      <c r="M13" s="19">
        <v>46182</v>
      </c>
      <c r="N13" s="16">
        <v>46199</v>
      </c>
      <c r="O13" s="36" t="s">
        <v>210</v>
      </c>
      <c r="P13" s="35">
        <v>46219</v>
      </c>
      <c r="Q13" s="70">
        <v>46226</v>
      </c>
      <c r="R13" s="17">
        <v>6.6</v>
      </c>
      <c r="S13" s="11">
        <v>228.5</v>
      </c>
      <c r="T13" s="29"/>
      <c r="U13" s="32"/>
    </row>
    <row r="14" spans="1:222" s="61" customFormat="1">
      <c r="A14" s="28">
        <v>61343</v>
      </c>
      <c r="B14" s="28" t="s">
        <v>119</v>
      </c>
      <c r="C14" s="28">
        <v>7</v>
      </c>
      <c r="D14" s="24" t="s">
        <v>21</v>
      </c>
      <c r="E14" s="90">
        <v>3</v>
      </c>
      <c r="F14" s="90">
        <v>3</v>
      </c>
      <c r="G14" s="81">
        <v>121.2</v>
      </c>
      <c r="H14" s="12" t="s">
        <v>120</v>
      </c>
      <c r="I14" s="13" t="s">
        <v>213</v>
      </c>
      <c r="J14" s="31">
        <v>34</v>
      </c>
      <c r="K14" s="14">
        <f t="shared" si="0"/>
        <v>0.88088235294117645</v>
      </c>
      <c r="L14" s="15" t="s">
        <v>61</v>
      </c>
      <c r="M14" s="19">
        <v>46176</v>
      </c>
      <c r="N14" s="16">
        <v>46195</v>
      </c>
      <c r="O14" s="36" t="s">
        <v>210</v>
      </c>
      <c r="P14" s="35">
        <v>46220</v>
      </c>
      <c r="Q14" s="70">
        <v>46227</v>
      </c>
      <c r="R14" s="17">
        <v>8.18</v>
      </c>
      <c r="S14" s="11">
        <v>29.95</v>
      </c>
      <c r="T14" s="29"/>
      <c r="U14" s="73" t="s">
        <v>230</v>
      </c>
    </row>
    <row r="15" spans="1:222" s="61" customFormat="1">
      <c r="A15" s="28">
        <v>80541</v>
      </c>
      <c r="B15" s="28" t="s">
        <v>105</v>
      </c>
      <c r="C15" s="28">
        <v>7</v>
      </c>
      <c r="D15" s="24" t="s">
        <v>21</v>
      </c>
      <c r="E15" s="90">
        <v>4</v>
      </c>
      <c r="F15" s="90">
        <v>3</v>
      </c>
      <c r="G15" s="81">
        <v>116.2</v>
      </c>
      <c r="H15" s="12" t="s">
        <v>127</v>
      </c>
      <c r="I15" s="13" t="s">
        <v>216</v>
      </c>
      <c r="J15" s="31">
        <v>122.6</v>
      </c>
      <c r="K15" s="14">
        <f t="shared" si="0"/>
        <v>0.79119086460032628</v>
      </c>
      <c r="L15" s="15" t="s">
        <v>154</v>
      </c>
      <c r="M15" s="19">
        <v>46169</v>
      </c>
      <c r="N15" s="16">
        <v>46198</v>
      </c>
      <c r="O15" s="36" t="s">
        <v>215</v>
      </c>
      <c r="P15" s="35">
        <v>46225</v>
      </c>
      <c r="Q15" s="70">
        <v>46232</v>
      </c>
      <c r="R15" s="17">
        <v>10.57</v>
      </c>
      <c r="S15" s="11">
        <v>97</v>
      </c>
      <c r="T15" s="29"/>
      <c r="U15" s="73" t="s">
        <v>235</v>
      </c>
    </row>
    <row r="16" spans="1:222" s="61" customFormat="1">
      <c r="A16" s="28">
        <v>84423</v>
      </c>
      <c r="B16" s="28" t="s">
        <v>97</v>
      </c>
      <c r="C16" s="28">
        <v>6</v>
      </c>
      <c r="D16" s="24" t="s">
        <v>21</v>
      </c>
      <c r="E16" s="90">
        <v>4</v>
      </c>
      <c r="F16" s="90">
        <v>3</v>
      </c>
      <c r="G16" s="90" t="s">
        <v>51</v>
      </c>
      <c r="H16" s="12" t="s">
        <v>236</v>
      </c>
      <c r="I16" s="13" t="s">
        <v>203</v>
      </c>
      <c r="J16" s="31">
        <v>42.5</v>
      </c>
      <c r="K16" s="14">
        <f t="shared" si="0"/>
        <v>1.0305882352941176</v>
      </c>
      <c r="L16" s="15" t="s">
        <v>61</v>
      </c>
      <c r="M16" s="19">
        <v>46150</v>
      </c>
      <c r="N16" s="16">
        <v>46168</v>
      </c>
      <c r="O16" s="36" t="s">
        <v>231</v>
      </c>
      <c r="P16" s="35">
        <v>46227</v>
      </c>
      <c r="Q16" s="70">
        <v>46234</v>
      </c>
      <c r="R16" s="17">
        <v>7.01</v>
      </c>
      <c r="S16" s="11">
        <v>43.8</v>
      </c>
      <c r="T16" s="29"/>
      <c r="U16" s="30" t="s">
        <v>98</v>
      </c>
    </row>
    <row r="17" spans="1:21" s="61" customFormat="1">
      <c r="A17" s="28">
        <v>68692</v>
      </c>
      <c r="B17" s="28" t="s">
        <v>114</v>
      </c>
      <c r="C17" s="28">
        <v>6</v>
      </c>
      <c r="D17" s="24" t="s">
        <v>21</v>
      </c>
      <c r="E17" s="90">
        <v>18</v>
      </c>
      <c r="F17" s="90">
        <v>3</v>
      </c>
      <c r="G17" s="90" t="s">
        <v>32</v>
      </c>
      <c r="H17" s="12" t="s">
        <v>115</v>
      </c>
      <c r="I17" s="13" t="s">
        <v>237</v>
      </c>
      <c r="J17" s="31">
        <v>72.3</v>
      </c>
      <c r="K17" s="14">
        <f t="shared" si="0"/>
        <v>0.97510373443983411</v>
      </c>
      <c r="L17" s="15" t="s">
        <v>154</v>
      </c>
      <c r="M17" s="19">
        <v>46184</v>
      </c>
      <c r="N17" s="16">
        <v>46204</v>
      </c>
      <c r="O17" s="36" t="s">
        <v>231</v>
      </c>
      <c r="P17" s="35">
        <v>46227</v>
      </c>
      <c r="Q17" s="70">
        <v>46234</v>
      </c>
      <c r="R17" s="17">
        <v>13.78</v>
      </c>
      <c r="S17" s="11">
        <v>70.5</v>
      </c>
      <c r="T17" s="29"/>
      <c r="U17" s="32"/>
    </row>
    <row r="18" spans="1:21" s="61" customFormat="1">
      <c r="A18" s="28">
        <v>66931</v>
      </c>
      <c r="B18" s="28" t="s">
        <v>92</v>
      </c>
      <c r="C18" s="28">
        <v>6</v>
      </c>
      <c r="D18" s="26" t="s">
        <v>22</v>
      </c>
      <c r="E18" s="90">
        <v>5</v>
      </c>
      <c r="F18" s="90">
        <v>3</v>
      </c>
      <c r="G18" s="90">
        <v>102</v>
      </c>
      <c r="H18" s="12" t="s">
        <v>63</v>
      </c>
      <c r="I18" s="34" t="s">
        <v>133</v>
      </c>
      <c r="J18" s="25" t="s">
        <v>25</v>
      </c>
      <c r="K18" s="18"/>
      <c r="L18" s="15" t="s">
        <v>61</v>
      </c>
      <c r="M18" s="19">
        <v>46170</v>
      </c>
      <c r="N18" s="16">
        <v>46188</v>
      </c>
      <c r="O18" s="36" t="s">
        <v>238</v>
      </c>
      <c r="P18" s="25" t="s">
        <v>25</v>
      </c>
      <c r="Q18" s="20"/>
      <c r="R18" s="17">
        <v>4.57</v>
      </c>
      <c r="S18" s="11"/>
      <c r="T18" s="29"/>
      <c r="U18" s="32"/>
    </row>
    <row r="19" spans="1:21" s="61" customFormat="1">
      <c r="A19" s="28">
        <v>24867</v>
      </c>
      <c r="B19" s="28" t="s">
        <v>85</v>
      </c>
      <c r="C19" s="28">
        <v>6</v>
      </c>
      <c r="D19" s="26" t="s">
        <v>22</v>
      </c>
      <c r="E19" s="90">
        <v>20</v>
      </c>
      <c r="F19" s="90">
        <v>3</v>
      </c>
      <c r="G19" s="90" t="s">
        <v>33</v>
      </c>
      <c r="H19" s="12" t="s">
        <v>86</v>
      </c>
      <c r="I19" s="34" t="s">
        <v>24</v>
      </c>
      <c r="J19" s="25" t="s">
        <v>25</v>
      </c>
      <c r="K19" s="18"/>
      <c r="L19" s="15" t="s">
        <v>77</v>
      </c>
      <c r="M19" s="19">
        <v>46195</v>
      </c>
      <c r="N19" s="16">
        <v>46211</v>
      </c>
      <c r="O19" s="36" t="s">
        <v>239</v>
      </c>
      <c r="P19" s="25" t="s">
        <v>25</v>
      </c>
      <c r="Q19" s="20"/>
      <c r="R19" s="17">
        <v>23.39</v>
      </c>
      <c r="S19" s="11"/>
      <c r="T19" s="29"/>
      <c r="U19" s="32"/>
    </row>
    <row r="20" spans="1:21" s="61" customFormat="1">
      <c r="A20" s="28">
        <v>69031</v>
      </c>
      <c r="B20" s="28" t="s">
        <v>124</v>
      </c>
      <c r="C20" s="28">
        <v>5</v>
      </c>
      <c r="D20" s="26" t="s">
        <v>22</v>
      </c>
      <c r="E20" s="90">
        <v>5</v>
      </c>
      <c r="F20" s="90">
        <v>3</v>
      </c>
      <c r="G20" s="33" t="s">
        <v>125</v>
      </c>
      <c r="H20" s="12" t="s">
        <v>26</v>
      </c>
      <c r="I20" s="34" t="s">
        <v>37</v>
      </c>
      <c r="J20" s="25" t="s">
        <v>25</v>
      </c>
      <c r="K20" s="18"/>
      <c r="L20" s="15" t="s">
        <v>36</v>
      </c>
      <c r="M20" s="19">
        <v>46195</v>
      </c>
      <c r="N20" s="16">
        <v>46211</v>
      </c>
      <c r="O20" s="36" t="s">
        <v>239</v>
      </c>
      <c r="P20" s="25" t="s">
        <v>25</v>
      </c>
      <c r="Q20" s="20"/>
      <c r="R20" s="17">
        <v>6.66</v>
      </c>
      <c r="S20" s="11"/>
      <c r="T20" s="29"/>
      <c r="U20" s="32"/>
    </row>
    <row r="21" spans="1:21" s="61" customFormat="1">
      <c r="A21" s="28">
        <v>99354</v>
      </c>
      <c r="B21" s="28" t="s">
        <v>81</v>
      </c>
      <c r="C21" s="28">
        <v>6</v>
      </c>
      <c r="D21" s="26" t="s">
        <v>22</v>
      </c>
      <c r="E21" s="90">
        <v>3</v>
      </c>
      <c r="F21" s="90">
        <v>3</v>
      </c>
      <c r="G21" s="90">
        <v>100.5</v>
      </c>
      <c r="H21" s="12" t="s">
        <v>28</v>
      </c>
      <c r="I21" s="34" t="s">
        <v>87</v>
      </c>
      <c r="J21" s="25" t="s">
        <v>25</v>
      </c>
      <c r="K21" s="18"/>
      <c r="L21" s="15" t="s">
        <v>88</v>
      </c>
      <c r="M21" s="19">
        <v>46134</v>
      </c>
      <c r="N21" s="16">
        <v>46153</v>
      </c>
      <c r="O21" s="20"/>
      <c r="P21" s="25" t="s">
        <v>25</v>
      </c>
      <c r="Q21" s="20"/>
      <c r="R21" s="17">
        <v>17.78</v>
      </c>
      <c r="S21" s="11"/>
      <c r="T21" s="29"/>
      <c r="U21" s="32"/>
    </row>
    <row r="22" spans="1:21" s="61" customFormat="1">
      <c r="A22" s="28">
        <v>12951</v>
      </c>
      <c r="B22" s="28" t="s">
        <v>75</v>
      </c>
      <c r="C22" s="28">
        <v>6</v>
      </c>
      <c r="D22" s="24" t="s">
        <v>21</v>
      </c>
      <c r="E22" s="90">
        <v>4</v>
      </c>
      <c r="F22" s="90">
        <v>3</v>
      </c>
      <c r="G22" s="90" t="s">
        <v>51</v>
      </c>
      <c r="H22" s="12" t="s">
        <v>23</v>
      </c>
      <c r="I22" s="34" t="s">
        <v>24</v>
      </c>
      <c r="J22" s="25" t="s">
        <v>25</v>
      </c>
      <c r="K22" s="18"/>
      <c r="L22" s="15" t="s">
        <v>62</v>
      </c>
      <c r="M22" s="19">
        <v>46150</v>
      </c>
      <c r="N22" s="16">
        <v>46168</v>
      </c>
      <c r="O22" s="20"/>
      <c r="P22" s="25" t="s">
        <v>25</v>
      </c>
      <c r="Q22" s="20"/>
      <c r="R22" s="17">
        <v>3.44</v>
      </c>
      <c r="S22" s="11"/>
      <c r="T22" s="29"/>
      <c r="U22" s="30" t="s">
        <v>94</v>
      </c>
    </row>
    <row r="23" spans="1:21" s="61" customFormat="1">
      <c r="A23" s="28">
        <v>52911</v>
      </c>
      <c r="B23" s="28" t="s">
        <v>89</v>
      </c>
      <c r="C23" s="28">
        <v>6</v>
      </c>
      <c r="D23" s="26" t="s">
        <v>22</v>
      </c>
      <c r="E23" s="90">
        <v>2</v>
      </c>
      <c r="F23" s="90">
        <v>3</v>
      </c>
      <c r="G23" s="90">
        <v>100</v>
      </c>
      <c r="H23" s="12" t="s">
        <v>27</v>
      </c>
      <c r="I23" s="34" t="s">
        <v>37</v>
      </c>
      <c r="J23" s="25" t="s">
        <v>25</v>
      </c>
      <c r="K23" s="18"/>
      <c r="L23" s="15" t="s">
        <v>95</v>
      </c>
      <c r="M23" s="19">
        <v>46150</v>
      </c>
      <c r="N23" s="16">
        <v>46168</v>
      </c>
      <c r="O23" s="20"/>
      <c r="P23" s="25" t="s">
        <v>25</v>
      </c>
      <c r="Q23" s="20"/>
      <c r="R23" s="17">
        <v>3.98</v>
      </c>
      <c r="S23" s="11"/>
      <c r="T23" s="29"/>
      <c r="U23" s="30" t="s">
        <v>96</v>
      </c>
    </row>
    <row r="24" spans="1:21" s="61" customFormat="1">
      <c r="A24" s="28">
        <v>84424</v>
      </c>
      <c r="B24" s="28" t="s">
        <v>99</v>
      </c>
      <c r="C24" s="72">
        <v>6</v>
      </c>
      <c r="D24" s="26" t="s">
        <v>22</v>
      </c>
      <c r="E24" s="90">
        <v>2</v>
      </c>
      <c r="F24" s="90">
        <v>3</v>
      </c>
      <c r="G24" s="90" t="s">
        <v>33</v>
      </c>
      <c r="H24" s="12" t="s">
        <v>100</v>
      </c>
      <c r="I24" s="34" t="s">
        <v>37</v>
      </c>
      <c r="J24" s="25" t="s">
        <v>25</v>
      </c>
      <c r="K24" s="18"/>
      <c r="L24" s="15" t="s">
        <v>36</v>
      </c>
      <c r="M24" s="19">
        <v>46150</v>
      </c>
      <c r="N24" s="16">
        <v>46168</v>
      </c>
      <c r="O24" s="36" t="s">
        <v>200</v>
      </c>
      <c r="P24" s="25" t="s">
        <v>25</v>
      </c>
      <c r="Q24" s="20"/>
      <c r="R24" s="17">
        <v>7.01</v>
      </c>
      <c r="S24" s="11"/>
      <c r="T24" s="29"/>
      <c r="U24" s="32"/>
    </row>
    <row r="25" spans="1:21" s="61" customFormat="1">
      <c r="A25" s="28">
        <v>82221</v>
      </c>
      <c r="B25" s="28" t="s">
        <v>69</v>
      </c>
      <c r="C25" s="28">
        <v>7</v>
      </c>
      <c r="D25" s="24" t="s">
        <v>21</v>
      </c>
      <c r="E25" s="90">
        <v>4</v>
      </c>
      <c r="F25" s="90">
        <v>3</v>
      </c>
      <c r="G25" s="90" t="s">
        <v>30</v>
      </c>
      <c r="H25" s="12" t="s">
        <v>135</v>
      </c>
      <c r="I25" s="34" t="s">
        <v>136</v>
      </c>
      <c r="J25" s="25" t="s">
        <v>25</v>
      </c>
      <c r="K25" s="18"/>
      <c r="L25" s="15" t="s">
        <v>61</v>
      </c>
      <c r="M25" s="19">
        <v>46169</v>
      </c>
      <c r="N25" s="16">
        <v>46185</v>
      </c>
      <c r="O25" s="20"/>
      <c r="P25" s="25" t="s">
        <v>25</v>
      </c>
      <c r="Q25" s="20"/>
      <c r="R25" s="17">
        <v>6.85</v>
      </c>
      <c r="S25" s="11"/>
      <c r="T25" s="29"/>
      <c r="U25" s="32"/>
    </row>
    <row r="26" spans="1:21" s="61" customFormat="1">
      <c r="A26" s="28">
        <v>99589</v>
      </c>
      <c r="B26" s="28" t="s">
        <v>121</v>
      </c>
      <c r="C26" s="28">
        <v>5</v>
      </c>
      <c r="D26" s="26" t="s">
        <v>22</v>
      </c>
      <c r="E26" s="90">
        <v>15</v>
      </c>
      <c r="F26" s="90">
        <v>3</v>
      </c>
      <c r="G26" s="90">
        <v>100</v>
      </c>
      <c r="H26" s="12" t="s">
        <v>74</v>
      </c>
      <c r="I26" s="34" t="s">
        <v>133</v>
      </c>
      <c r="J26" s="25" t="s">
        <v>25</v>
      </c>
      <c r="K26" s="18"/>
      <c r="L26" s="15" t="s">
        <v>36</v>
      </c>
      <c r="M26" s="19">
        <v>46170</v>
      </c>
      <c r="N26" s="16">
        <v>46188</v>
      </c>
      <c r="O26" s="20"/>
      <c r="P26" s="25" t="s">
        <v>25</v>
      </c>
      <c r="Q26" s="20"/>
      <c r="R26" s="17">
        <v>24.68</v>
      </c>
      <c r="S26" s="11"/>
      <c r="T26" s="29"/>
      <c r="U26" s="32"/>
    </row>
    <row r="27" spans="1:21" s="61" customFormat="1">
      <c r="A27" s="28">
        <v>30062</v>
      </c>
      <c r="B27" s="28" t="s">
        <v>131</v>
      </c>
      <c r="C27" s="28">
        <v>5</v>
      </c>
      <c r="D27" s="24" t="s">
        <v>21</v>
      </c>
      <c r="E27" s="90">
        <v>20</v>
      </c>
      <c r="F27" s="90">
        <v>3</v>
      </c>
      <c r="G27" s="90" t="s">
        <v>34</v>
      </c>
      <c r="H27" s="12" t="s">
        <v>132</v>
      </c>
      <c r="I27" s="34" t="s">
        <v>24</v>
      </c>
      <c r="J27" s="25" t="s">
        <v>25</v>
      </c>
      <c r="K27" s="18"/>
      <c r="L27" s="15" t="s">
        <v>61</v>
      </c>
      <c r="M27" s="19">
        <v>46174</v>
      </c>
      <c r="N27" s="16">
        <v>46190</v>
      </c>
      <c r="O27" s="20"/>
      <c r="P27" s="25" t="s">
        <v>25</v>
      </c>
      <c r="Q27" s="20"/>
      <c r="R27" s="17">
        <v>29.77</v>
      </c>
      <c r="S27" s="11"/>
      <c r="T27" s="29"/>
      <c r="U27" s="32"/>
    </row>
    <row r="28" spans="1:21" s="61" customFormat="1">
      <c r="A28" s="28">
        <v>30285</v>
      </c>
      <c r="B28" s="28" t="s">
        <v>101</v>
      </c>
      <c r="C28" s="28">
        <v>6</v>
      </c>
      <c r="D28" s="26" t="s">
        <v>22</v>
      </c>
      <c r="E28" s="90">
        <v>5</v>
      </c>
      <c r="F28" s="90">
        <v>5</v>
      </c>
      <c r="G28" s="33">
        <v>100.5</v>
      </c>
      <c r="H28" s="12" t="s">
        <v>26</v>
      </c>
      <c r="I28" s="34" t="s">
        <v>37</v>
      </c>
      <c r="J28" s="25" t="s">
        <v>25</v>
      </c>
      <c r="K28" s="18"/>
      <c r="L28" s="15" t="s">
        <v>61</v>
      </c>
      <c r="M28" s="19">
        <v>46178</v>
      </c>
      <c r="N28" s="16">
        <v>46197</v>
      </c>
      <c r="O28" s="20"/>
      <c r="P28" s="25" t="s">
        <v>25</v>
      </c>
      <c r="Q28" s="20"/>
      <c r="R28" s="17">
        <v>23.74</v>
      </c>
      <c r="S28" s="11"/>
      <c r="T28" s="29"/>
      <c r="U28" s="30" t="s">
        <v>156</v>
      </c>
    </row>
    <row r="29" spans="1:21" s="61" customFormat="1">
      <c r="A29" s="28">
        <v>30286</v>
      </c>
      <c r="B29" s="28" t="s">
        <v>102</v>
      </c>
      <c r="C29" s="28">
        <v>6</v>
      </c>
      <c r="D29" s="24" t="s">
        <v>21</v>
      </c>
      <c r="E29" s="90">
        <v>20</v>
      </c>
      <c r="F29" s="90">
        <v>5</v>
      </c>
      <c r="G29" s="90" t="s">
        <v>103</v>
      </c>
      <c r="H29" s="12" t="s">
        <v>26</v>
      </c>
      <c r="I29" s="34" t="s">
        <v>31</v>
      </c>
      <c r="J29" s="25" t="s">
        <v>25</v>
      </c>
      <c r="K29" s="18"/>
      <c r="L29" s="15" t="s">
        <v>61</v>
      </c>
      <c r="M29" s="19">
        <v>46178</v>
      </c>
      <c r="N29" s="16">
        <v>46197</v>
      </c>
      <c r="O29" s="20"/>
      <c r="P29" s="25" t="s">
        <v>25</v>
      </c>
      <c r="Q29" s="20"/>
      <c r="R29" s="17">
        <v>23.74</v>
      </c>
      <c r="S29" s="11"/>
      <c r="T29" s="29"/>
      <c r="U29" s="30" t="s">
        <v>156</v>
      </c>
    </row>
    <row r="30" spans="1:21" s="61" customFormat="1">
      <c r="A30" s="28">
        <v>25305</v>
      </c>
      <c r="B30" s="28" t="s">
        <v>147</v>
      </c>
      <c r="C30" s="28">
        <v>7</v>
      </c>
      <c r="D30" s="24" t="s">
        <v>21</v>
      </c>
      <c r="E30" s="90">
        <v>9</v>
      </c>
      <c r="F30" s="90">
        <v>3</v>
      </c>
      <c r="G30" s="90" t="s">
        <v>32</v>
      </c>
      <c r="H30" s="12" t="s">
        <v>23</v>
      </c>
      <c r="I30" s="34" t="s">
        <v>157</v>
      </c>
      <c r="J30" s="25" t="s">
        <v>25</v>
      </c>
      <c r="K30" s="18"/>
      <c r="L30" s="15" t="s">
        <v>134</v>
      </c>
      <c r="M30" s="19">
        <v>46181</v>
      </c>
      <c r="N30" s="16">
        <v>46198</v>
      </c>
      <c r="O30" s="20"/>
      <c r="P30" s="25" t="s">
        <v>25</v>
      </c>
      <c r="Q30" s="20"/>
      <c r="R30" s="17">
        <v>8.41</v>
      </c>
      <c r="S30" s="11"/>
      <c r="T30" s="29"/>
      <c r="U30" s="32"/>
    </row>
    <row r="31" spans="1:21" s="61" customFormat="1">
      <c r="A31" s="28">
        <v>31494</v>
      </c>
      <c r="B31" s="28" t="s">
        <v>76</v>
      </c>
      <c r="C31" s="28">
        <v>9</v>
      </c>
      <c r="D31" s="24" t="s">
        <v>21</v>
      </c>
      <c r="E31" s="33">
        <v>6.5</v>
      </c>
      <c r="F31" s="90">
        <v>3</v>
      </c>
      <c r="G31" s="90" t="s">
        <v>51</v>
      </c>
      <c r="H31" s="12" t="s">
        <v>78</v>
      </c>
      <c r="I31" s="34" t="s">
        <v>24</v>
      </c>
      <c r="J31" s="25" t="s">
        <v>25</v>
      </c>
      <c r="K31" s="18"/>
      <c r="L31" s="15" t="s">
        <v>61</v>
      </c>
      <c r="M31" s="19">
        <v>46174</v>
      </c>
      <c r="N31" s="16">
        <v>46203</v>
      </c>
      <c r="O31" s="20"/>
      <c r="P31" s="25" t="s">
        <v>25</v>
      </c>
      <c r="Q31" s="20"/>
      <c r="R31" s="17">
        <v>22.62</v>
      </c>
      <c r="S31" s="11"/>
      <c r="T31" s="29"/>
      <c r="U31" s="30"/>
    </row>
    <row r="32" spans="1:21" s="61" customFormat="1">
      <c r="A32" s="28">
        <v>35833</v>
      </c>
      <c r="B32" s="28" t="s">
        <v>106</v>
      </c>
      <c r="C32" s="28">
        <v>4</v>
      </c>
      <c r="D32" s="26" t="s">
        <v>22</v>
      </c>
      <c r="E32" s="90">
        <v>5</v>
      </c>
      <c r="F32" s="90">
        <v>3</v>
      </c>
      <c r="G32" s="90" t="s">
        <v>165</v>
      </c>
      <c r="H32" s="12" t="s">
        <v>29</v>
      </c>
      <c r="I32" s="34" t="s">
        <v>37</v>
      </c>
      <c r="J32" s="25" t="s">
        <v>25</v>
      </c>
      <c r="K32" s="18"/>
      <c r="L32" s="15" t="s">
        <v>61</v>
      </c>
      <c r="M32" s="19">
        <v>46184</v>
      </c>
      <c r="N32" s="16">
        <v>46203</v>
      </c>
      <c r="O32" s="20"/>
      <c r="P32" s="25" t="s">
        <v>25</v>
      </c>
      <c r="Q32" s="20"/>
      <c r="R32" s="17">
        <v>8.0299999999999994</v>
      </c>
      <c r="S32" s="11"/>
      <c r="T32" s="29"/>
      <c r="U32" s="32"/>
    </row>
    <row r="33" spans="1:21" s="61" customFormat="1">
      <c r="A33" s="28">
        <v>35834</v>
      </c>
      <c r="B33" s="28" t="s">
        <v>107</v>
      </c>
      <c r="C33" s="28">
        <v>4</v>
      </c>
      <c r="D33" s="24" t="s">
        <v>21</v>
      </c>
      <c r="E33" s="90">
        <v>15</v>
      </c>
      <c r="F33" s="90">
        <v>3</v>
      </c>
      <c r="G33" s="90" t="s">
        <v>108</v>
      </c>
      <c r="H33" s="12" t="s">
        <v>29</v>
      </c>
      <c r="I33" s="34" t="s">
        <v>166</v>
      </c>
      <c r="J33" s="25" t="s">
        <v>25</v>
      </c>
      <c r="K33" s="18"/>
      <c r="L33" s="15" t="s">
        <v>61</v>
      </c>
      <c r="M33" s="19">
        <v>46184</v>
      </c>
      <c r="N33" s="16">
        <v>46203</v>
      </c>
      <c r="O33" s="20"/>
      <c r="P33" s="25" t="s">
        <v>25</v>
      </c>
      <c r="Q33" s="20"/>
      <c r="R33" s="17">
        <v>8.0299999999999994</v>
      </c>
      <c r="S33" s="11"/>
      <c r="T33" s="29"/>
      <c r="U33" s="32"/>
    </row>
    <row r="34" spans="1:21" s="61" customFormat="1">
      <c r="A34" s="28">
        <v>35972</v>
      </c>
      <c r="B34" s="28" t="s">
        <v>151</v>
      </c>
      <c r="C34" s="28">
        <v>6</v>
      </c>
      <c r="D34" s="24" t="s">
        <v>21</v>
      </c>
      <c r="E34" s="90">
        <v>2</v>
      </c>
      <c r="F34" s="90">
        <v>3</v>
      </c>
      <c r="G34" s="90" t="s">
        <v>152</v>
      </c>
      <c r="H34" s="12" t="s">
        <v>153</v>
      </c>
      <c r="I34" s="34" t="s">
        <v>24</v>
      </c>
      <c r="J34" s="25" t="s">
        <v>25</v>
      </c>
      <c r="K34" s="18"/>
      <c r="L34" s="15" t="s">
        <v>36</v>
      </c>
      <c r="M34" s="19">
        <v>46184</v>
      </c>
      <c r="N34" s="16">
        <v>46204</v>
      </c>
      <c r="O34" s="20"/>
      <c r="P34" s="25" t="s">
        <v>25</v>
      </c>
      <c r="Q34" s="20"/>
      <c r="R34" s="17">
        <v>3.92</v>
      </c>
      <c r="S34" s="11"/>
      <c r="T34" s="29"/>
      <c r="U34" s="30" t="s">
        <v>175</v>
      </c>
    </row>
    <row r="35" spans="1:21" s="61" customFormat="1">
      <c r="A35" s="28">
        <v>24512</v>
      </c>
      <c r="B35" s="28" t="s">
        <v>91</v>
      </c>
      <c r="C35" s="28">
        <v>3</v>
      </c>
      <c r="D35" s="24" t="s">
        <v>21</v>
      </c>
      <c r="E35" s="90">
        <v>30</v>
      </c>
      <c r="F35" s="90">
        <v>3</v>
      </c>
      <c r="G35" s="90" t="s">
        <v>34</v>
      </c>
      <c r="H35" s="12" t="s">
        <v>29</v>
      </c>
      <c r="I35" s="34" t="s">
        <v>24</v>
      </c>
      <c r="J35" s="25" t="s">
        <v>25</v>
      </c>
      <c r="K35" s="18"/>
      <c r="L35" s="15" t="s">
        <v>77</v>
      </c>
      <c r="M35" s="19">
        <v>46191</v>
      </c>
      <c r="N35" s="16">
        <v>46210</v>
      </c>
      <c r="O35" s="20"/>
      <c r="P35" s="25" t="s">
        <v>25</v>
      </c>
      <c r="Q35" s="20"/>
      <c r="R35" s="17">
        <v>43.06</v>
      </c>
      <c r="S35" s="11"/>
      <c r="T35" s="29"/>
      <c r="U35" s="32"/>
    </row>
    <row r="36" spans="1:21" s="61" customFormat="1">
      <c r="A36" s="28">
        <v>47642</v>
      </c>
      <c r="B36" s="28" t="s">
        <v>71</v>
      </c>
      <c r="C36" s="28">
        <v>5</v>
      </c>
      <c r="D36" s="24" t="s">
        <v>21</v>
      </c>
      <c r="E36" s="90">
        <v>5</v>
      </c>
      <c r="F36" s="90">
        <v>3</v>
      </c>
      <c r="G36" s="90" t="s">
        <v>34</v>
      </c>
      <c r="H36" s="12" t="s">
        <v>150</v>
      </c>
      <c r="I36" s="34" t="s">
        <v>31</v>
      </c>
      <c r="J36" s="25" t="s">
        <v>25</v>
      </c>
      <c r="K36" s="18"/>
      <c r="L36" s="15" t="s">
        <v>61</v>
      </c>
      <c r="M36" s="19">
        <v>46195</v>
      </c>
      <c r="N36" s="16">
        <v>46211</v>
      </c>
      <c r="O36" s="20"/>
      <c r="P36" s="25" t="s">
        <v>25</v>
      </c>
      <c r="Q36" s="20"/>
      <c r="R36" s="17">
        <v>8.5500000000000007</v>
      </c>
      <c r="S36" s="11"/>
      <c r="T36" s="29"/>
      <c r="U36" s="32"/>
    </row>
    <row r="37" spans="1:21" s="61" customFormat="1">
      <c r="A37" s="28">
        <v>66831</v>
      </c>
      <c r="B37" s="28" t="s">
        <v>149</v>
      </c>
      <c r="C37" s="28">
        <v>5</v>
      </c>
      <c r="D37" s="24" t="s">
        <v>21</v>
      </c>
      <c r="E37" s="90">
        <v>15</v>
      </c>
      <c r="F37" s="90">
        <v>3</v>
      </c>
      <c r="G37" s="90" t="s">
        <v>68</v>
      </c>
      <c r="H37" s="12" t="s">
        <v>28</v>
      </c>
      <c r="I37" s="34" t="s">
        <v>24</v>
      </c>
      <c r="J37" s="25" t="s">
        <v>25</v>
      </c>
      <c r="K37" s="18"/>
      <c r="L37" s="15" t="s">
        <v>61</v>
      </c>
      <c r="M37" s="19">
        <v>46195</v>
      </c>
      <c r="N37" s="16">
        <v>46211</v>
      </c>
      <c r="O37" s="20"/>
      <c r="P37" s="25" t="s">
        <v>25</v>
      </c>
      <c r="Q37" s="20"/>
      <c r="R37" s="17">
        <v>2.75</v>
      </c>
      <c r="S37" s="11"/>
      <c r="T37" s="29"/>
      <c r="U37" s="32"/>
    </row>
    <row r="38" spans="1:21" s="61" customFormat="1">
      <c r="A38" s="28">
        <v>69032</v>
      </c>
      <c r="B38" s="28" t="s">
        <v>126</v>
      </c>
      <c r="C38" s="28">
        <v>5</v>
      </c>
      <c r="D38" s="24" t="s">
        <v>21</v>
      </c>
      <c r="E38" s="90">
        <v>10</v>
      </c>
      <c r="F38" s="90">
        <v>3</v>
      </c>
      <c r="G38" s="33" t="s">
        <v>32</v>
      </c>
      <c r="H38" s="12" t="s">
        <v>26</v>
      </c>
      <c r="I38" s="34" t="s">
        <v>24</v>
      </c>
      <c r="J38" s="25" t="s">
        <v>25</v>
      </c>
      <c r="K38" s="18"/>
      <c r="L38" s="15" t="s">
        <v>36</v>
      </c>
      <c r="M38" s="19">
        <v>46195</v>
      </c>
      <c r="N38" s="16">
        <v>46211</v>
      </c>
      <c r="O38" s="20"/>
      <c r="P38" s="25" t="s">
        <v>25</v>
      </c>
      <c r="Q38" s="20"/>
      <c r="R38" s="17">
        <v>6.66</v>
      </c>
      <c r="S38" s="11"/>
      <c r="T38" s="29"/>
      <c r="U38" s="32"/>
    </row>
    <row r="39" spans="1:21" s="61" customFormat="1">
      <c r="A39" s="28">
        <v>53862</v>
      </c>
      <c r="B39" s="28" t="s">
        <v>93</v>
      </c>
      <c r="C39" s="28">
        <v>6</v>
      </c>
      <c r="D39" s="26" t="s">
        <v>22</v>
      </c>
      <c r="E39" s="33">
        <v>6.5</v>
      </c>
      <c r="F39" s="90">
        <v>3</v>
      </c>
      <c r="G39" s="90">
        <v>101</v>
      </c>
      <c r="H39" s="12" t="s">
        <v>86</v>
      </c>
      <c r="I39" s="34" t="s">
        <v>201</v>
      </c>
      <c r="J39" s="25" t="s">
        <v>25</v>
      </c>
      <c r="K39" s="18"/>
      <c r="L39" s="15" t="s">
        <v>36</v>
      </c>
      <c r="M39" s="19">
        <v>46196</v>
      </c>
      <c r="N39" s="19">
        <v>46212</v>
      </c>
      <c r="O39" s="36" t="s">
        <v>240</v>
      </c>
      <c r="P39" s="25" t="s">
        <v>25</v>
      </c>
      <c r="Q39" s="20"/>
      <c r="R39" s="17">
        <v>3.61</v>
      </c>
      <c r="S39" s="11"/>
      <c r="T39" s="29"/>
      <c r="U39" s="30" t="s">
        <v>202</v>
      </c>
    </row>
    <row r="40" spans="1:21" s="61" customFormat="1">
      <c r="A40" s="28">
        <v>84381</v>
      </c>
      <c r="B40" s="28" t="s">
        <v>67</v>
      </c>
      <c r="C40" s="28">
        <v>6</v>
      </c>
      <c r="D40" s="24" t="s">
        <v>21</v>
      </c>
      <c r="E40" s="90">
        <v>3</v>
      </c>
      <c r="F40" s="90">
        <v>3</v>
      </c>
      <c r="G40" s="90" t="s">
        <v>51</v>
      </c>
      <c r="H40" s="12" t="s">
        <v>23</v>
      </c>
      <c r="I40" s="34" t="s">
        <v>24</v>
      </c>
      <c r="J40" s="25" t="s">
        <v>25</v>
      </c>
      <c r="K40" s="18"/>
      <c r="L40" s="15" t="s">
        <v>61</v>
      </c>
      <c r="M40" s="19">
        <v>46196</v>
      </c>
      <c r="N40" s="16">
        <v>46212</v>
      </c>
      <c r="O40" s="20"/>
      <c r="P40" s="25" t="s">
        <v>25</v>
      </c>
      <c r="Q40" s="20"/>
      <c r="R40" s="17">
        <v>6.99</v>
      </c>
      <c r="S40" s="11"/>
      <c r="T40" s="29"/>
      <c r="U40" s="32"/>
    </row>
    <row r="41" spans="1:21" s="61" customFormat="1">
      <c r="A41" s="28">
        <v>89162</v>
      </c>
      <c r="B41" s="28" t="s">
        <v>148</v>
      </c>
      <c r="C41" s="28">
        <v>5</v>
      </c>
      <c r="D41" s="24" t="s">
        <v>21</v>
      </c>
      <c r="E41" s="90">
        <v>2</v>
      </c>
      <c r="F41" s="90">
        <v>3</v>
      </c>
      <c r="G41" s="90" t="s">
        <v>32</v>
      </c>
      <c r="H41" s="12" t="s">
        <v>74</v>
      </c>
      <c r="I41" s="34" t="s">
        <v>203</v>
      </c>
      <c r="J41" s="25" t="s">
        <v>25</v>
      </c>
      <c r="K41" s="18"/>
      <c r="L41" s="15" t="s">
        <v>61</v>
      </c>
      <c r="M41" s="19">
        <v>46197</v>
      </c>
      <c r="N41" s="19">
        <v>46213</v>
      </c>
      <c r="O41" s="36" t="s">
        <v>241</v>
      </c>
      <c r="P41" s="25" t="s">
        <v>25</v>
      </c>
      <c r="Q41" s="20"/>
      <c r="R41" s="17">
        <v>29.77</v>
      </c>
      <c r="S41" s="11"/>
      <c r="T41" s="29"/>
      <c r="U41" s="32"/>
    </row>
    <row r="42" spans="1:21" s="61" customFormat="1">
      <c r="A42" s="28">
        <v>23031</v>
      </c>
      <c r="B42" s="28" t="s">
        <v>138</v>
      </c>
      <c r="C42" s="28">
        <v>3</v>
      </c>
      <c r="D42" s="26" t="s">
        <v>22</v>
      </c>
      <c r="E42" s="90">
        <v>120</v>
      </c>
      <c r="F42" s="90">
        <v>5</v>
      </c>
      <c r="G42" s="90" t="s">
        <v>139</v>
      </c>
      <c r="H42" s="12" t="s">
        <v>140</v>
      </c>
      <c r="I42" s="34" t="s">
        <v>219</v>
      </c>
      <c r="J42" s="25" t="s">
        <v>25</v>
      </c>
      <c r="K42" s="18"/>
      <c r="L42" s="15" t="s">
        <v>61</v>
      </c>
      <c r="M42" s="19">
        <v>46203</v>
      </c>
      <c r="N42" s="19">
        <v>46219</v>
      </c>
      <c r="O42" s="20"/>
      <c r="P42" s="25" t="s">
        <v>25</v>
      </c>
      <c r="Q42" s="20"/>
      <c r="R42" s="17">
        <v>1257.69</v>
      </c>
      <c r="S42" s="11"/>
      <c r="T42" s="29"/>
      <c r="U42" s="32"/>
    </row>
    <row r="43" spans="1:21" s="61" customFormat="1">
      <c r="A43" s="28">
        <v>23032</v>
      </c>
      <c r="B43" s="28" t="s">
        <v>141</v>
      </c>
      <c r="C43" s="28">
        <v>3</v>
      </c>
      <c r="D43" s="24" t="s">
        <v>21</v>
      </c>
      <c r="E43" s="90">
        <v>40</v>
      </c>
      <c r="F43" s="90">
        <v>5</v>
      </c>
      <c r="G43" s="90" t="s">
        <v>32</v>
      </c>
      <c r="H43" s="12" t="s">
        <v>140</v>
      </c>
      <c r="I43" s="34" t="s">
        <v>220</v>
      </c>
      <c r="J43" s="25" t="s">
        <v>25</v>
      </c>
      <c r="K43" s="18"/>
      <c r="L43" s="15" t="s">
        <v>61</v>
      </c>
      <c r="M43" s="19">
        <v>46203</v>
      </c>
      <c r="N43" s="19">
        <v>46219</v>
      </c>
      <c r="O43" s="20"/>
      <c r="P43" s="25" t="s">
        <v>25</v>
      </c>
      <c r="Q43" s="20"/>
      <c r="R43" s="17">
        <v>1257.69</v>
      </c>
      <c r="S43" s="11"/>
      <c r="T43" s="29"/>
      <c r="U43" s="32"/>
    </row>
    <row r="44" spans="1:21" s="61" customFormat="1">
      <c r="A44" s="28">
        <v>31283</v>
      </c>
      <c r="B44" s="28" t="s">
        <v>112</v>
      </c>
      <c r="C44" s="28">
        <v>7</v>
      </c>
      <c r="D44" s="24" t="s">
        <v>21</v>
      </c>
      <c r="E44" s="90">
        <v>3</v>
      </c>
      <c r="F44" s="90">
        <v>3</v>
      </c>
      <c r="G44" s="90" t="s">
        <v>32</v>
      </c>
      <c r="H44" s="12" t="s">
        <v>57</v>
      </c>
      <c r="I44" s="34" t="s">
        <v>220</v>
      </c>
      <c r="J44" s="25" t="s">
        <v>25</v>
      </c>
      <c r="K44" s="18"/>
      <c r="L44" s="15" t="s">
        <v>36</v>
      </c>
      <c r="M44" s="19">
        <v>46203</v>
      </c>
      <c r="N44" s="19">
        <v>46219</v>
      </c>
      <c r="O44" s="20"/>
      <c r="P44" s="25" t="s">
        <v>25</v>
      </c>
      <c r="Q44" s="20"/>
      <c r="R44" s="17">
        <v>4.7300000000000004</v>
      </c>
      <c r="S44" s="11"/>
      <c r="T44" s="29"/>
      <c r="U44" s="32"/>
    </row>
    <row r="45" spans="1:21" s="61" customFormat="1">
      <c r="A45" s="28">
        <v>55362</v>
      </c>
      <c r="B45" s="28" t="s">
        <v>182</v>
      </c>
      <c r="C45" s="28">
        <v>3</v>
      </c>
      <c r="D45" s="26" t="s">
        <v>22</v>
      </c>
      <c r="E45" s="90">
        <v>15</v>
      </c>
      <c r="F45" s="90">
        <v>3</v>
      </c>
      <c r="G45" s="90" t="s">
        <v>183</v>
      </c>
      <c r="H45" s="12" t="s">
        <v>184</v>
      </c>
      <c r="I45" s="34" t="s">
        <v>221</v>
      </c>
      <c r="J45" s="25" t="s">
        <v>25</v>
      </c>
      <c r="K45" s="18"/>
      <c r="L45" s="15" t="s">
        <v>77</v>
      </c>
      <c r="M45" s="19">
        <v>46203</v>
      </c>
      <c r="N45" s="19">
        <v>46219</v>
      </c>
      <c r="O45" s="20"/>
      <c r="P45" s="25" t="s">
        <v>25</v>
      </c>
      <c r="Q45" s="20"/>
      <c r="R45" s="17">
        <v>6.2</v>
      </c>
      <c r="S45" s="11"/>
      <c r="T45" s="29"/>
      <c r="U45" s="32"/>
    </row>
    <row r="46" spans="1:21" s="61" customFormat="1">
      <c r="A46" s="28">
        <v>55363</v>
      </c>
      <c r="B46" s="28" t="s">
        <v>185</v>
      </c>
      <c r="C46" s="28">
        <v>3</v>
      </c>
      <c r="D46" s="24" t="s">
        <v>21</v>
      </c>
      <c r="E46" s="90">
        <v>15</v>
      </c>
      <c r="F46" s="90">
        <v>3</v>
      </c>
      <c r="G46" s="90" t="s">
        <v>222</v>
      </c>
      <c r="H46" s="12" t="s">
        <v>184</v>
      </c>
      <c r="I46" s="34" t="s">
        <v>220</v>
      </c>
      <c r="J46" s="25" t="s">
        <v>25</v>
      </c>
      <c r="K46" s="18"/>
      <c r="L46" s="15" t="s">
        <v>77</v>
      </c>
      <c r="M46" s="19">
        <v>46203</v>
      </c>
      <c r="N46" s="19">
        <v>46219</v>
      </c>
      <c r="O46" s="20"/>
      <c r="P46" s="25" t="s">
        <v>25</v>
      </c>
      <c r="Q46" s="20"/>
      <c r="R46" s="17">
        <v>6.2</v>
      </c>
      <c r="S46" s="11"/>
      <c r="T46" s="29"/>
      <c r="U46" s="32"/>
    </row>
    <row r="47" spans="1:21" s="61" customFormat="1">
      <c r="A47" s="28">
        <v>81552</v>
      </c>
      <c r="B47" s="28" t="s">
        <v>171</v>
      </c>
      <c r="C47" s="28">
        <v>4</v>
      </c>
      <c r="D47" s="26" t="s">
        <v>22</v>
      </c>
      <c r="E47" s="90">
        <v>30</v>
      </c>
      <c r="F47" s="90">
        <v>5</v>
      </c>
      <c r="G47" s="90">
        <v>105</v>
      </c>
      <c r="H47" s="12" t="s">
        <v>28</v>
      </c>
      <c r="I47" s="34" t="s">
        <v>223</v>
      </c>
      <c r="J47" s="25" t="s">
        <v>25</v>
      </c>
      <c r="K47" s="18"/>
      <c r="L47" s="15" t="s">
        <v>154</v>
      </c>
      <c r="M47" s="19">
        <v>46203</v>
      </c>
      <c r="N47" s="19">
        <v>46219</v>
      </c>
      <c r="O47" s="20"/>
      <c r="P47" s="25" t="s">
        <v>25</v>
      </c>
      <c r="Q47" s="20"/>
      <c r="R47" s="17">
        <v>6.06</v>
      </c>
      <c r="S47" s="11"/>
      <c r="T47" s="29"/>
      <c r="U47" s="32"/>
    </row>
    <row r="48" spans="1:21" s="61" customFormat="1">
      <c r="A48" s="28">
        <v>81553</v>
      </c>
      <c r="B48" s="28" t="s">
        <v>172</v>
      </c>
      <c r="C48" s="28">
        <v>4</v>
      </c>
      <c r="D48" s="24" t="s">
        <v>21</v>
      </c>
      <c r="E48" s="90">
        <v>20</v>
      </c>
      <c r="F48" s="90">
        <v>5</v>
      </c>
      <c r="G48" s="90" t="s">
        <v>80</v>
      </c>
      <c r="H48" s="12" t="s">
        <v>28</v>
      </c>
      <c r="I48" s="34" t="s">
        <v>224</v>
      </c>
      <c r="J48" s="25" t="s">
        <v>25</v>
      </c>
      <c r="K48" s="18"/>
      <c r="L48" s="15" t="s">
        <v>154</v>
      </c>
      <c r="M48" s="19">
        <v>46203</v>
      </c>
      <c r="N48" s="19">
        <v>46219</v>
      </c>
      <c r="O48" s="20"/>
      <c r="P48" s="25" t="s">
        <v>25</v>
      </c>
      <c r="Q48" s="20"/>
      <c r="R48" s="17">
        <v>6.06</v>
      </c>
      <c r="S48" s="11"/>
      <c r="T48" s="29"/>
      <c r="U48" s="32"/>
    </row>
    <row r="49" spans="1:21" s="61" customFormat="1">
      <c r="A49" s="28">
        <v>30811</v>
      </c>
      <c r="B49" s="28" t="s">
        <v>186</v>
      </c>
      <c r="C49" s="28">
        <v>6</v>
      </c>
      <c r="D49" s="24" t="s">
        <v>21</v>
      </c>
      <c r="E49" s="90">
        <v>12</v>
      </c>
      <c r="F49" s="90">
        <v>3</v>
      </c>
      <c r="G49" s="90" t="s">
        <v>187</v>
      </c>
      <c r="H49" s="12" t="s">
        <v>227</v>
      </c>
      <c r="I49" s="34" t="s">
        <v>219</v>
      </c>
      <c r="J49" s="25" t="s">
        <v>25</v>
      </c>
      <c r="K49" s="18"/>
      <c r="L49" s="15" t="s">
        <v>154</v>
      </c>
      <c r="M49" s="19">
        <v>46206</v>
      </c>
      <c r="N49" s="19">
        <v>46224</v>
      </c>
      <c r="O49" s="20"/>
      <c r="P49" s="25" t="s">
        <v>25</v>
      </c>
      <c r="Q49" s="20"/>
      <c r="R49" s="17">
        <v>9.25</v>
      </c>
      <c r="S49" s="11"/>
      <c r="T49" s="29"/>
      <c r="U49" s="32"/>
    </row>
    <row r="50" spans="1:21" s="61" customFormat="1">
      <c r="A50" s="28">
        <v>30812</v>
      </c>
      <c r="B50" s="28" t="s">
        <v>188</v>
      </c>
      <c r="C50" s="28">
        <v>6</v>
      </c>
      <c r="D50" s="26" t="s">
        <v>22</v>
      </c>
      <c r="E50" s="90">
        <v>18</v>
      </c>
      <c r="F50" s="90">
        <v>3</v>
      </c>
      <c r="G50" s="90" t="s">
        <v>125</v>
      </c>
      <c r="H50" s="12" t="s">
        <v>29</v>
      </c>
      <c r="I50" s="34" t="s">
        <v>228</v>
      </c>
      <c r="J50" s="25" t="s">
        <v>25</v>
      </c>
      <c r="K50" s="18"/>
      <c r="L50" s="15" t="s">
        <v>154</v>
      </c>
      <c r="M50" s="19">
        <v>46206</v>
      </c>
      <c r="N50" s="19">
        <v>46224</v>
      </c>
      <c r="O50" s="20"/>
      <c r="P50" s="25" t="s">
        <v>25</v>
      </c>
      <c r="Q50" s="20"/>
      <c r="R50" s="17">
        <v>9.25</v>
      </c>
      <c r="S50" s="11"/>
      <c r="T50" s="29"/>
      <c r="U50" s="32"/>
    </row>
    <row r="51" spans="1:21" s="61" customFormat="1">
      <c r="A51" s="28">
        <v>89365</v>
      </c>
      <c r="B51" s="28" t="s">
        <v>122</v>
      </c>
      <c r="C51" s="28">
        <v>6</v>
      </c>
      <c r="D51" s="24" t="s">
        <v>21</v>
      </c>
      <c r="E51" s="90">
        <v>6</v>
      </c>
      <c r="F51" s="90">
        <v>3</v>
      </c>
      <c r="G51" s="90" t="s">
        <v>32</v>
      </c>
      <c r="H51" s="12" t="s">
        <v>229</v>
      </c>
      <c r="I51" s="34" t="s">
        <v>224</v>
      </c>
      <c r="J51" s="25" t="s">
        <v>25</v>
      </c>
      <c r="K51" s="18"/>
      <c r="L51" s="15" t="s">
        <v>77</v>
      </c>
      <c r="M51" s="19">
        <v>46206</v>
      </c>
      <c r="N51" s="19">
        <v>46224</v>
      </c>
      <c r="O51" s="20"/>
      <c r="P51" s="25" t="s">
        <v>25</v>
      </c>
      <c r="Q51" s="20"/>
      <c r="R51" s="17">
        <v>24.08</v>
      </c>
      <c r="S51" s="11"/>
      <c r="T51" s="29"/>
      <c r="U51" s="32"/>
    </row>
    <row r="52" spans="1:21" s="61" customFormat="1">
      <c r="A52" s="28">
        <v>89366</v>
      </c>
      <c r="B52" s="28" t="s">
        <v>123</v>
      </c>
      <c r="C52" s="28">
        <v>6</v>
      </c>
      <c r="D52" s="24" t="s">
        <v>21</v>
      </c>
      <c r="E52" s="90">
        <v>6</v>
      </c>
      <c r="F52" s="90">
        <v>3</v>
      </c>
      <c r="G52" s="90" t="s">
        <v>32</v>
      </c>
      <c r="H52" s="12" t="s">
        <v>23</v>
      </c>
      <c r="I52" s="34" t="s">
        <v>224</v>
      </c>
      <c r="J52" s="25" t="s">
        <v>25</v>
      </c>
      <c r="K52" s="18"/>
      <c r="L52" s="15" t="s">
        <v>164</v>
      </c>
      <c r="M52" s="19">
        <v>46206</v>
      </c>
      <c r="N52" s="19">
        <v>46224</v>
      </c>
      <c r="O52" s="20"/>
      <c r="P52" s="25" t="s">
        <v>25</v>
      </c>
      <c r="Q52" s="20"/>
      <c r="R52" s="17">
        <v>24.08</v>
      </c>
      <c r="S52" s="11"/>
      <c r="T52" s="29"/>
      <c r="U52" s="32"/>
    </row>
    <row r="53" spans="1:21" s="61" customFormat="1">
      <c r="A53" s="28">
        <v>31414</v>
      </c>
      <c r="B53" s="28" t="s">
        <v>189</v>
      </c>
      <c r="C53" s="28">
        <v>6</v>
      </c>
      <c r="D53" s="26" t="s">
        <v>22</v>
      </c>
      <c r="E53" s="90">
        <v>5</v>
      </c>
      <c r="F53" s="90">
        <v>5</v>
      </c>
      <c r="G53" s="90">
        <v>101</v>
      </c>
      <c r="H53" s="12" t="s">
        <v>27</v>
      </c>
      <c r="I53" s="34" t="s">
        <v>232</v>
      </c>
      <c r="J53" s="25" t="s">
        <v>25</v>
      </c>
      <c r="K53" s="18"/>
      <c r="L53" s="15" t="s">
        <v>154</v>
      </c>
      <c r="M53" s="19">
        <v>46209</v>
      </c>
      <c r="N53" s="19">
        <v>46225</v>
      </c>
      <c r="O53" s="20"/>
      <c r="P53" s="25" t="s">
        <v>25</v>
      </c>
      <c r="Q53" s="20"/>
      <c r="R53" s="17">
        <v>7.54</v>
      </c>
      <c r="S53" s="11"/>
      <c r="T53" s="29"/>
      <c r="U53" s="32"/>
    </row>
    <row r="54" spans="1:21" s="61" customFormat="1">
      <c r="A54" s="28">
        <v>31415</v>
      </c>
      <c r="B54" s="28" t="s">
        <v>191</v>
      </c>
      <c r="C54" s="28">
        <v>6</v>
      </c>
      <c r="D54" s="24" t="s">
        <v>21</v>
      </c>
      <c r="E54" s="90">
        <v>5</v>
      </c>
      <c r="F54" s="90">
        <v>3</v>
      </c>
      <c r="G54" s="90" t="s">
        <v>32</v>
      </c>
      <c r="H54" s="12" t="s">
        <v>27</v>
      </c>
      <c r="I54" s="34" t="s">
        <v>224</v>
      </c>
      <c r="J54" s="25" t="s">
        <v>25</v>
      </c>
      <c r="K54" s="18"/>
      <c r="L54" s="15" t="s">
        <v>77</v>
      </c>
      <c r="M54" s="19">
        <v>46209</v>
      </c>
      <c r="N54" s="19">
        <v>46225</v>
      </c>
      <c r="O54" s="20"/>
      <c r="P54" s="25" t="s">
        <v>25</v>
      </c>
      <c r="Q54" s="20"/>
      <c r="R54" s="17">
        <v>7.54</v>
      </c>
      <c r="S54" s="11"/>
      <c r="T54" s="29"/>
      <c r="U54" s="32"/>
    </row>
    <row r="55" spans="1:21" s="61" customFormat="1">
      <c r="A55" s="28">
        <v>76311</v>
      </c>
      <c r="B55" s="28" t="s">
        <v>209</v>
      </c>
      <c r="C55" s="28">
        <v>6</v>
      </c>
      <c r="D55" s="26" t="s">
        <v>22</v>
      </c>
      <c r="E55" s="90">
        <v>4</v>
      </c>
      <c r="F55" s="90">
        <v>3</v>
      </c>
      <c r="G55" s="33">
        <v>100.5</v>
      </c>
      <c r="H55" s="12" t="s">
        <v>140</v>
      </c>
      <c r="I55" s="34" t="s">
        <v>224</v>
      </c>
      <c r="J55" s="25" t="s">
        <v>25</v>
      </c>
      <c r="K55" s="18"/>
      <c r="L55" s="15" t="s">
        <v>233</v>
      </c>
      <c r="M55" s="19">
        <v>46210</v>
      </c>
      <c r="N55" s="19">
        <v>46226</v>
      </c>
      <c r="O55" s="20"/>
      <c r="P55" s="25" t="s">
        <v>25</v>
      </c>
      <c r="Q55" s="20"/>
      <c r="R55" s="17">
        <v>2.0099999999999998</v>
      </c>
      <c r="S55" s="11"/>
      <c r="T55" s="29"/>
      <c r="U55" s="32"/>
    </row>
    <row r="56" spans="1:21" s="85" customFormat="1">
      <c r="A56" s="37"/>
      <c r="B56" s="37"/>
      <c r="C56" s="37"/>
      <c r="D56" s="83"/>
      <c r="E56" s="38"/>
      <c r="F56" s="38"/>
      <c r="G56" s="38"/>
      <c r="H56" s="38"/>
      <c r="I56" s="39"/>
      <c r="J56" s="40"/>
      <c r="K56" s="41"/>
      <c r="L56" s="42"/>
      <c r="M56" s="43"/>
      <c r="N56" s="43"/>
      <c r="O56" s="23"/>
      <c r="P56" s="40"/>
      <c r="Q56" s="23"/>
      <c r="R56" s="44"/>
      <c r="S56" s="37"/>
      <c r="T56" s="84"/>
      <c r="U56" s="75"/>
    </row>
    <row r="57" spans="1:21">
      <c r="A57" s="45" t="s">
        <v>38</v>
      </c>
      <c r="B57" s="23"/>
      <c r="C57" s="23"/>
      <c r="D57" s="46"/>
      <c r="E57" s="23"/>
      <c r="F57" s="47"/>
      <c r="G57" s="47"/>
      <c r="H57" s="48"/>
      <c r="I57" s="49"/>
      <c r="J57" s="40"/>
      <c r="K57" s="50"/>
      <c r="L57" s="42"/>
      <c r="M57" s="27"/>
      <c r="N57" s="27"/>
      <c r="O57" s="51"/>
      <c r="P57" s="40"/>
      <c r="Q57" s="51"/>
      <c r="R57" s="23"/>
      <c r="S57" s="50"/>
      <c r="T57" s="50"/>
      <c r="U57" s="21"/>
    </row>
    <row r="58" spans="1:21" ht="28.5">
      <c r="A58" s="52" t="s">
        <v>39</v>
      </c>
      <c r="B58" s="52" t="s">
        <v>40</v>
      </c>
      <c r="C58" s="52" t="s">
        <v>41</v>
      </c>
      <c r="D58" s="53" t="s">
        <v>42</v>
      </c>
      <c r="E58" s="54" t="s">
        <v>4</v>
      </c>
      <c r="F58" s="54" t="s">
        <v>43</v>
      </c>
      <c r="G58" s="54" t="s">
        <v>6</v>
      </c>
      <c r="H58" s="55" t="s">
        <v>44</v>
      </c>
      <c r="I58" s="56" t="s">
        <v>45</v>
      </c>
      <c r="J58" s="91"/>
      <c r="K58" s="92"/>
      <c r="L58" s="57"/>
      <c r="M58" s="57"/>
      <c r="N58" s="57"/>
      <c r="O58" s="58"/>
      <c r="P58" s="58"/>
      <c r="Q58" s="58"/>
      <c r="R58" s="3" t="s">
        <v>17</v>
      </c>
      <c r="S58" s="2" t="s">
        <v>18</v>
      </c>
      <c r="T58" s="9" t="s">
        <v>19</v>
      </c>
      <c r="U58" s="59" t="s">
        <v>46</v>
      </c>
    </row>
    <row r="59" spans="1:21" s="61" customFormat="1">
      <c r="A59" s="28">
        <v>84223</v>
      </c>
      <c r="B59" s="28" t="s">
        <v>225</v>
      </c>
      <c r="C59" s="28">
        <v>4</v>
      </c>
      <c r="D59" s="24" t="s">
        <v>21</v>
      </c>
      <c r="E59" s="33">
        <v>25</v>
      </c>
      <c r="F59" s="89">
        <v>5</v>
      </c>
      <c r="G59" s="89" t="s">
        <v>32</v>
      </c>
      <c r="H59" s="12" t="s">
        <v>86</v>
      </c>
      <c r="I59" s="34" t="s">
        <v>226</v>
      </c>
      <c r="J59" s="41"/>
      <c r="K59" s="41"/>
      <c r="L59" s="60"/>
      <c r="M59" s="60"/>
      <c r="N59" s="60"/>
      <c r="O59" s="23"/>
      <c r="P59" s="23"/>
      <c r="Q59" s="23"/>
      <c r="R59" s="17">
        <v>13.57</v>
      </c>
      <c r="S59" s="11"/>
      <c r="T59" s="29"/>
      <c r="U59" s="32"/>
    </row>
    <row r="60" spans="1:21" s="61" customFormat="1">
      <c r="A60" s="28">
        <v>32191</v>
      </c>
      <c r="B60" s="28" t="s">
        <v>217</v>
      </c>
      <c r="C60" s="28">
        <v>7</v>
      </c>
      <c r="D60" s="24" t="s">
        <v>21</v>
      </c>
      <c r="E60" s="33">
        <v>6</v>
      </c>
      <c r="F60" s="88">
        <v>3</v>
      </c>
      <c r="G60" s="88" t="s">
        <v>32</v>
      </c>
      <c r="H60" s="12" t="s">
        <v>57</v>
      </c>
      <c r="I60" s="34" t="s">
        <v>218</v>
      </c>
      <c r="J60" s="41"/>
      <c r="K60" s="41"/>
      <c r="L60" s="60"/>
      <c r="M60" s="60"/>
      <c r="N60" s="60"/>
      <c r="O60" s="23"/>
      <c r="P60" s="23"/>
      <c r="Q60" s="23"/>
      <c r="R60" s="17">
        <v>7.17</v>
      </c>
      <c r="S60" s="11"/>
      <c r="T60" s="29"/>
      <c r="U60" s="32"/>
    </row>
    <row r="61" spans="1:21" s="61" customFormat="1">
      <c r="A61" s="28">
        <v>30166</v>
      </c>
      <c r="B61" s="28" t="s">
        <v>211</v>
      </c>
      <c r="C61" s="28">
        <v>6</v>
      </c>
      <c r="D61" s="26" t="s">
        <v>22</v>
      </c>
      <c r="E61" s="33">
        <v>3.5</v>
      </c>
      <c r="F61" s="86">
        <v>3</v>
      </c>
      <c r="G61" s="86" t="s">
        <v>33</v>
      </c>
      <c r="H61" s="12" t="s">
        <v>28</v>
      </c>
      <c r="I61" s="34" t="s">
        <v>212</v>
      </c>
      <c r="J61" s="41"/>
      <c r="K61" s="41"/>
      <c r="L61" s="60"/>
      <c r="M61" s="60"/>
      <c r="N61" s="60"/>
      <c r="O61" s="23"/>
      <c r="P61" s="23"/>
      <c r="Q61" s="23"/>
      <c r="R61" s="17">
        <v>28.85</v>
      </c>
      <c r="S61" s="11"/>
      <c r="T61" s="29"/>
      <c r="U61" s="32"/>
    </row>
    <row r="62" spans="1:21" s="61" customFormat="1">
      <c r="A62" s="28">
        <v>65702</v>
      </c>
      <c r="B62" s="28" t="s">
        <v>206</v>
      </c>
      <c r="C62" s="28">
        <v>6</v>
      </c>
      <c r="D62" s="26" t="s">
        <v>22</v>
      </c>
      <c r="E62" s="33">
        <v>2.5</v>
      </c>
      <c r="F62" s="82">
        <v>3</v>
      </c>
      <c r="G62" s="33" t="s">
        <v>139</v>
      </c>
      <c r="H62" s="12" t="s">
        <v>27</v>
      </c>
      <c r="I62" s="34" t="s">
        <v>207</v>
      </c>
      <c r="J62" s="41"/>
      <c r="K62" s="41"/>
      <c r="L62" s="60"/>
      <c r="M62" s="60"/>
      <c r="N62" s="60"/>
      <c r="O62" s="23"/>
      <c r="P62" s="23"/>
      <c r="Q62" s="23"/>
      <c r="R62" s="17">
        <v>3.71</v>
      </c>
      <c r="S62" s="11"/>
      <c r="T62" s="29"/>
      <c r="U62" s="32"/>
    </row>
    <row r="63" spans="1:21" s="61" customFormat="1">
      <c r="A63" s="28">
        <v>23161</v>
      </c>
      <c r="B63" s="28" t="s">
        <v>208</v>
      </c>
      <c r="C63" s="28">
        <v>6</v>
      </c>
      <c r="D63" s="24" t="s">
        <v>21</v>
      </c>
      <c r="E63" s="82">
        <v>35</v>
      </c>
      <c r="F63" s="82">
        <v>5</v>
      </c>
      <c r="G63" s="33">
        <v>100</v>
      </c>
      <c r="H63" s="12" t="s">
        <v>26</v>
      </c>
      <c r="I63" s="34" t="s">
        <v>207</v>
      </c>
      <c r="J63" s="41"/>
      <c r="K63" s="41"/>
      <c r="L63" s="60"/>
      <c r="M63" s="60"/>
      <c r="N63" s="60"/>
      <c r="O63" s="23"/>
      <c r="P63" s="23"/>
      <c r="Q63" s="23"/>
      <c r="R63" s="17">
        <v>18.27</v>
      </c>
      <c r="S63" s="11"/>
      <c r="T63" s="29"/>
      <c r="U63" s="32"/>
    </row>
    <row r="64" spans="1:21" s="61" customFormat="1">
      <c r="A64" s="28">
        <v>15602</v>
      </c>
      <c r="B64" s="28" t="s">
        <v>196</v>
      </c>
      <c r="C64" s="28">
        <v>4</v>
      </c>
      <c r="D64" s="24" t="s">
        <v>21</v>
      </c>
      <c r="E64" s="80">
        <v>10</v>
      </c>
      <c r="F64" s="80">
        <v>3</v>
      </c>
      <c r="G64" s="80" t="s">
        <v>108</v>
      </c>
      <c r="H64" s="12" t="s">
        <v>29</v>
      </c>
      <c r="I64" s="34" t="s">
        <v>197</v>
      </c>
      <c r="J64" s="41"/>
      <c r="K64" s="41"/>
      <c r="L64" s="60"/>
      <c r="M64" s="60"/>
      <c r="N64" s="60"/>
      <c r="O64" s="23"/>
      <c r="P64" s="23"/>
      <c r="Q64" s="23"/>
      <c r="R64" s="17">
        <v>14.89</v>
      </c>
      <c r="S64" s="11"/>
      <c r="T64" s="29"/>
      <c r="U64" s="32"/>
    </row>
    <row r="65" spans="1:21" s="61" customFormat="1">
      <c r="A65" s="28">
        <v>49675</v>
      </c>
      <c r="B65" s="28" t="s">
        <v>180</v>
      </c>
      <c r="C65" s="28">
        <v>5</v>
      </c>
      <c r="D65" s="24" t="s">
        <v>21</v>
      </c>
      <c r="E65" s="78">
        <v>30</v>
      </c>
      <c r="F65" s="78">
        <v>5</v>
      </c>
      <c r="G65" s="78" t="s">
        <v>32</v>
      </c>
      <c r="H65" s="12" t="s">
        <v>74</v>
      </c>
      <c r="I65" s="34" t="s">
        <v>181</v>
      </c>
      <c r="J65" s="41"/>
      <c r="K65" s="41"/>
      <c r="L65" s="60"/>
      <c r="M65" s="60"/>
      <c r="N65" s="60"/>
      <c r="O65" s="23"/>
      <c r="P65" s="23"/>
      <c r="Q65" s="23"/>
      <c r="R65" s="17">
        <v>8.49</v>
      </c>
      <c r="S65" s="11"/>
      <c r="T65" s="29"/>
      <c r="U65" s="32"/>
    </row>
    <row r="66" spans="1:21" s="61" customFormat="1">
      <c r="A66" s="28">
        <v>24643</v>
      </c>
      <c r="B66" s="28" t="s">
        <v>192</v>
      </c>
      <c r="C66" s="28">
        <v>6</v>
      </c>
      <c r="D66" s="24" t="s">
        <v>21</v>
      </c>
      <c r="E66" s="78">
        <v>10</v>
      </c>
      <c r="F66" s="78">
        <v>3</v>
      </c>
      <c r="G66" s="78" t="s">
        <v>32</v>
      </c>
      <c r="H66" s="12" t="s">
        <v>86</v>
      </c>
      <c r="I66" s="34" t="s">
        <v>190</v>
      </c>
      <c r="J66" s="41"/>
      <c r="K66" s="41"/>
      <c r="L66" s="60"/>
      <c r="M66" s="60"/>
      <c r="N66" s="60"/>
      <c r="O66" s="23"/>
      <c r="P66" s="23"/>
      <c r="Q66" s="23"/>
      <c r="R66" s="17">
        <v>20.64</v>
      </c>
      <c r="S66" s="11"/>
      <c r="T66" s="29"/>
      <c r="U66" s="32"/>
    </row>
    <row r="67" spans="1:21" s="61" customFormat="1">
      <c r="A67" s="28">
        <v>45415</v>
      </c>
      <c r="B67" s="28" t="s">
        <v>167</v>
      </c>
      <c r="C67" s="28">
        <v>7</v>
      </c>
      <c r="D67" s="24" t="s">
        <v>21</v>
      </c>
      <c r="E67" s="77">
        <v>3</v>
      </c>
      <c r="F67" s="77">
        <v>5</v>
      </c>
      <c r="G67" s="77" t="s">
        <v>32</v>
      </c>
      <c r="H67" s="12" t="s">
        <v>150</v>
      </c>
      <c r="I67" s="34" t="s">
        <v>168</v>
      </c>
      <c r="J67" s="41"/>
      <c r="K67" s="41"/>
      <c r="L67" s="60"/>
      <c r="M67" s="60"/>
      <c r="N67" s="60"/>
      <c r="O67" s="23"/>
      <c r="P67" s="23"/>
      <c r="Q67" s="23"/>
      <c r="R67" s="17">
        <v>6.76</v>
      </c>
      <c r="S67" s="11"/>
      <c r="T67" s="29"/>
      <c r="U67" s="32"/>
    </row>
    <row r="68" spans="1:21" s="61" customFormat="1">
      <c r="A68" s="28">
        <v>45416</v>
      </c>
      <c r="B68" s="28" t="s">
        <v>169</v>
      </c>
      <c r="C68" s="28">
        <v>7</v>
      </c>
      <c r="D68" s="26" t="s">
        <v>22</v>
      </c>
      <c r="E68" s="77">
        <v>2</v>
      </c>
      <c r="F68" s="77">
        <v>5</v>
      </c>
      <c r="G68" s="77" t="s">
        <v>33</v>
      </c>
      <c r="H68" s="12" t="s">
        <v>170</v>
      </c>
      <c r="I68" s="34" t="s">
        <v>168</v>
      </c>
      <c r="J68" s="41"/>
      <c r="K68" s="41"/>
      <c r="L68" s="60"/>
      <c r="M68" s="60"/>
      <c r="N68" s="60"/>
      <c r="O68" s="23"/>
      <c r="P68" s="23"/>
      <c r="Q68" s="23"/>
      <c r="R68" s="17">
        <v>6.76</v>
      </c>
      <c r="S68" s="11"/>
      <c r="T68" s="29"/>
      <c r="U68" s="32"/>
    </row>
    <row r="69" spans="1:21" s="61" customFormat="1">
      <c r="A69" s="28">
        <v>35122</v>
      </c>
      <c r="B69" s="28" t="s">
        <v>142</v>
      </c>
      <c r="C69" s="28">
        <v>7</v>
      </c>
      <c r="D69" s="24" t="s">
        <v>21</v>
      </c>
      <c r="E69" s="76">
        <v>6</v>
      </c>
      <c r="F69" s="76">
        <v>3</v>
      </c>
      <c r="G69" s="76" t="s">
        <v>32</v>
      </c>
      <c r="H69" s="12" t="s">
        <v>143</v>
      </c>
      <c r="I69" s="34" t="s">
        <v>144</v>
      </c>
      <c r="J69" s="41"/>
      <c r="K69" s="41"/>
      <c r="L69" s="60"/>
      <c r="M69" s="60"/>
      <c r="N69" s="60"/>
      <c r="O69" s="23"/>
      <c r="P69" s="23"/>
      <c r="Q69" s="23"/>
      <c r="R69" s="17">
        <v>11.31</v>
      </c>
      <c r="S69" s="11"/>
      <c r="T69" s="29"/>
      <c r="U69" s="32"/>
    </row>
    <row r="70" spans="1:21" s="61" customFormat="1">
      <c r="A70" s="28">
        <v>52636</v>
      </c>
      <c r="B70" s="28" t="s">
        <v>128</v>
      </c>
      <c r="C70" s="28">
        <v>7</v>
      </c>
      <c r="D70" s="24" t="s">
        <v>21</v>
      </c>
      <c r="E70" s="76">
        <v>6</v>
      </c>
      <c r="F70" s="76">
        <v>3</v>
      </c>
      <c r="G70" s="76" t="s">
        <v>30</v>
      </c>
      <c r="H70" s="12" t="s">
        <v>129</v>
      </c>
      <c r="I70" s="34" t="s">
        <v>113</v>
      </c>
      <c r="J70" s="41"/>
      <c r="K70" s="41"/>
      <c r="L70" s="60"/>
      <c r="M70" s="60"/>
      <c r="N70" s="60"/>
      <c r="O70" s="23"/>
      <c r="P70" s="23"/>
      <c r="Q70" s="23"/>
      <c r="R70" s="17">
        <v>7.39</v>
      </c>
      <c r="S70" s="11"/>
      <c r="T70" s="29"/>
      <c r="U70" s="32"/>
    </row>
    <row r="71" spans="1:21" s="61" customFormat="1">
      <c r="A71" s="28">
        <v>26461</v>
      </c>
      <c r="B71" s="28" t="s">
        <v>116</v>
      </c>
      <c r="C71" s="28">
        <v>6</v>
      </c>
      <c r="D71" s="26" t="s">
        <v>22</v>
      </c>
      <c r="E71" s="93">
        <v>20</v>
      </c>
      <c r="F71" s="76">
        <v>5</v>
      </c>
      <c r="G71" s="76" t="s">
        <v>33</v>
      </c>
      <c r="H71" s="12" t="s">
        <v>29</v>
      </c>
      <c r="I71" s="34" t="s">
        <v>48</v>
      </c>
      <c r="J71" s="41"/>
      <c r="K71" s="41"/>
      <c r="L71" s="60"/>
      <c r="M71" s="60"/>
      <c r="N71" s="60"/>
      <c r="O71" s="23"/>
      <c r="P71" s="23"/>
      <c r="Q71" s="23"/>
      <c r="R71" s="17">
        <v>300.87</v>
      </c>
      <c r="S71" s="11"/>
      <c r="T71" s="29"/>
      <c r="U71" s="32"/>
    </row>
    <row r="72" spans="1:21" s="61" customFormat="1">
      <c r="A72" s="28">
        <v>26462</v>
      </c>
      <c r="B72" s="28" t="s">
        <v>117</v>
      </c>
      <c r="C72" s="28">
        <v>6</v>
      </c>
      <c r="D72" s="24" t="s">
        <v>21</v>
      </c>
      <c r="E72" s="94"/>
      <c r="F72" s="76">
        <v>5</v>
      </c>
      <c r="G72" s="76" t="s">
        <v>32</v>
      </c>
      <c r="H72" s="12" t="s">
        <v>29</v>
      </c>
      <c r="I72" s="34" t="s">
        <v>48</v>
      </c>
      <c r="J72" s="41"/>
      <c r="K72" s="41"/>
      <c r="L72" s="60"/>
      <c r="M72" s="60"/>
      <c r="N72" s="60"/>
      <c r="O72" s="23"/>
      <c r="P72" s="23"/>
      <c r="Q72" s="23"/>
      <c r="R72" s="17">
        <v>300.87</v>
      </c>
      <c r="S72" s="11"/>
      <c r="T72" s="29"/>
      <c r="U72" s="32"/>
    </row>
    <row r="73" spans="1:21" s="61" customFormat="1">
      <c r="A73" s="28">
        <v>49731</v>
      </c>
      <c r="B73" s="28" t="s">
        <v>104</v>
      </c>
      <c r="C73" s="28">
        <v>6</v>
      </c>
      <c r="D73" s="26" t="s">
        <v>22</v>
      </c>
      <c r="E73" s="76">
        <v>5</v>
      </c>
      <c r="F73" s="76">
        <v>3</v>
      </c>
      <c r="G73" s="76" t="s">
        <v>51</v>
      </c>
      <c r="H73" s="12" t="s">
        <v>23</v>
      </c>
      <c r="I73" s="34" t="s">
        <v>50</v>
      </c>
      <c r="J73" s="41"/>
      <c r="K73" s="41"/>
      <c r="L73" s="60"/>
      <c r="M73" s="60"/>
      <c r="N73" s="60"/>
      <c r="O73" s="23"/>
      <c r="P73" s="23"/>
      <c r="Q73" s="23"/>
      <c r="R73" s="17">
        <v>6.52</v>
      </c>
      <c r="S73" s="11"/>
      <c r="T73" s="29"/>
      <c r="U73" s="32"/>
    </row>
    <row r="74" spans="1:21" s="61" customFormat="1">
      <c r="A74" s="28">
        <v>27621</v>
      </c>
      <c r="B74" s="28" t="s">
        <v>58</v>
      </c>
      <c r="C74" s="28">
        <v>5</v>
      </c>
      <c r="D74" s="26" t="s">
        <v>22</v>
      </c>
      <c r="E74" s="76">
        <v>5</v>
      </c>
      <c r="F74" s="76">
        <v>3</v>
      </c>
      <c r="G74" s="76" t="s">
        <v>33</v>
      </c>
      <c r="H74" s="12" t="s">
        <v>57</v>
      </c>
      <c r="I74" s="34" t="s">
        <v>82</v>
      </c>
      <c r="J74" s="41"/>
      <c r="K74" s="41"/>
      <c r="L74" s="60"/>
      <c r="M74" s="60"/>
      <c r="N74" s="60"/>
      <c r="O74" s="23"/>
      <c r="P74" s="23"/>
      <c r="Q74" s="23"/>
      <c r="R74" s="17">
        <v>11.25</v>
      </c>
      <c r="S74" s="11"/>
      <c r="T74" s="29"/>
      <c r="U74" s="32"/>
    </row>
    <row r="75" spans="1:21" s="61" customFormat="1">
      <c r="A75" s="28">
        <v>77381</v>
      </c>
      <c r="B75" s="28" t="s">
        <v>72</v>
      </c>
      <c r="C75" s="28">
        <v>6</v>
      </c>
      <c r="D75" s="26" t="s">
        <v>73</v>
      </c>
      <c r="E75" s="76">
        <v>5</v>
      </c>
      <c r="F75" s="76">
        <v>3</v>
      </c>
      <c r="G75" s="76">
        <v>100</v>
      </c>
      <c r="H75" s="12" t="s">
        <v>74</v>
      </c>
      <c r="I75" s="34" t="s">
        <v>70</v>
      </c>
      <c r="J75" s="41"/>
      <c r="K75" s="41"/>
      <c r="L75" s="60"/>
      <c r="M75" s="60"/>
      <c r="N75" s="60"/>
      <c r="O75" s="23"/>
      <c r="P75" s="23"/>
      <c r="Q75" s="23"/>
      <c r="R75" s="17">
        <v>2.73</v>
      </c>
      <c r="S75" s="11"/>
      <c r="T75" s="29"/>
      <c r="U75" s="32"/>
    </row>
    <row r="76" spans="1:21" s="61" customFormat="1">
      <c r="A76" s="28">
        <v>84674</v>
      </c>
      <c r="B76" s="28" t="s">
        <v>54</v>
      </c>
      <c r="C76" s="28">
        <v>6</v>
      </c>
      <c r="D76" s="24" t="s">
        <v>21</v>
      </c>
      <c r="E76" s="33">
        <v>2.1</v>
      </c>
      <c r="F76" s="76">
        <v>3</v>
      </c>
      <c r="G76" s="76" t="s">
        <v>52</v>
      </c>
      <c r="H76" s="12" t="s">
        <v>55</v>
      </c>
      <c r="I76" s="34" t="s">
        <v>53</v>
      </c>
      <c r="J76" s="41"/>
      <c r="K76" s="41"/>
      <c r="L76" s="60"/>
      <c r="M76" s="60"/>
      <c r="N76" s="60"/>
      <c r="O76" s="23"/>
      <c r="P76" s="23"/>
      <c r="Q76" s="23"/>
      <c r="R76" s="17">
        <v>5.03</v>
      </c>
      <c r="S76" s="11"/>
      <c r="T76" s="29"/>
      <c r="U76" s="32"/>
    </row>
    <row r="77" spans="1:21" s="61" customFormat="1">
      <c r="A77" s="28">
        <v>84675</v>
      </c>
      <c r="B77" s="28" t="s">
        <v>56</v>
      </c>
      <c r="C77" s="28">
        <v>6</v>
      </c>
      <c r="D77" s="26" t="s">
        <v>22</v>
      </c>
      <c r="E77" s="33">
        <v>3.9</v>
      </c>
      <c r="F77" s="76">
        <v>3</v>
      </c>
      <c r="G77" s="33">
        <v>100.5</v>
      </c>
      <c r="H77" s="12" t="s">
        <v>26</v>
      </c>
      <c r="I77" s="34" t="s">
        <v>53</v>
      </c>
      <c r="J77" s="41"/>
      <c r="K77" s="41"/>
      <c r="L77" s="60"/>
      <c r="M77" s="60"/>
      <c r="N77" s="60"/>
      <c r="O77" s="23"/>
      <c r="P77" s="23"/>
      <c r="Q77" s="23"/>
      <c r="R77" s="17">
        <v>5.03</v>
      </c>
      <c r="S77" s="11"/>
      <c r="T77" s="29"/>
      <c r="U77" s="32"/>
    </row>
    <row r="78" spans="1:21" s="61" customFormat="1" ht="15.75" customHeight="1">
      <c r="A78" s="28">
        <v>21092</v>
      </c>
      <c r="B78" s="28" t="s">
        <v>47</v>
      </c>
      <c r="C78" s="28">
        <v>6</v>
      </c>
      <c r="D78" s="26" t="s">
        <v>22</v>
      </c>
      <c r="E78" s="76">
        <v>10</v>
      </c>
      <c r="F78" s="76" t="s">
        <v>25</v>
      </c>
      <c r="G78" s="76" t="s">
        <v>25</v>
      </c>
      <c r="H78" s="76" t="s">
        <v>26</v>
      </c>
      <c r="I78" s="34" t="s">
        <v>48</v>
      </c>
      <c r="J78" s="41"/>
      <c r="K78" s="41"/>
      <c r="L78" s="60"/>
      <c r="M78" s="60"/>
      <c r="N78" s="60"/>
      <c r="O78" s="23"/>
      <c r="P78" s="23"/>
      <c r="Q78" s="23"/>
      <c r="R78" s="17">
        <v>27.93</v>
      </c>
      <c r="S78" s="11"/>
      <c r="T78" s="29"/>
      <c r="U78" s="32"/>
    </row>
    <row r="79" spans="1:21" s="61" customFormat="1">
      <c r="A79" s="28">
        <v>66921</v>
      </c>
      <c r="B79" s="28" t="s">
        <v>49</v>
      </c>
      <c r="C79" s="28">
        <v>6</v>
      </c>
      <c r="D79" s="26" t="s">
        <v>22</v>
      </c>
      <c r="E79" s="76">
        <v>2</v>
      </c>
      <c r="F79" s="76">
        <v>5</v>
      </c>
      <c r="G79" s="76" t="s">
        <v>35</v>
      </c>
      <c r="H79" s="76" t="s">
        <v>29</v>
      </c>
      <c r="I79" s="34" t="s">
        <v>50</v>
      </c>
      <c r="J79" s="41"/>
      <c r="K79" s="41"/>
      <c r="L79" s="60"/>
      <c r="M79" s="60"/>
      <c r="N79" s="60"/>
      <c r="O79" s="23"/>
      <c r="P79" s="23"/>
      <c r="Q79" s="23"/>
      <c r="R79" s="17">
        <v>5.86</v>
      </c>
      <c r="S79" s="11"/>
      <c r="T79" s="29"/>
      <c r="U79" s="32"/>
    </row>
  </sheetData>
  <mergeCells count="2">
    <mergeCell ref="J58:K58"/>
    <mergeCell ref="E71:E72"/>
  </mergeCells>
  <phoneticPr fontId="4" type="noConversion"/>
  <conditionalFormatting sqref="N57">
    <cfRule type="timePeriod" dxfId="0" priority="2" timePeriod="lastWeek">
      <formula>AND(TODAY()-ROUNDDOWN(N57,0)&gt;=(WEEKDAY(TODAY())),TODAY()-ROUNDDOWN(N57,0)&lt;(WEEKDAY(TODAY())+7))</formula>
    </cfRule>
  </conditionalFormatting>
  <hyperlinks>
    <hyperlink ref="U4" r:id="rId1" xr:uid="{00000000-0004-0000-0000-000003000000}"/>
    <hyperlink ref="U22" r:id="rId2" xr:uid="{3F309B83-81E0-4A67-B9F0-9138035D4E86}"/>
    <hyperlink ref="U23" r:id="rId3" xr:uid="{9511998B-524F-4A1A-87CF-ECE018FA1F58}"/>
    <hyperlink ref="U34" r:id="rId4" xr:uid="{BA9EA87A-DFFB-456A-A0BB-356C84FB55CE}"/>
    <hyperlink ref="U28" r:id="rId5" xr:uid="{E68A341E-EFBD-4B51-9185-E7B99616ED67}"/>
    <hyperlink ref="U29" r:id="rId6" xr:uid="{59859EBF-5746-4E8E-B557-B324B75BA5F0}"/>
    <hyperlink ref="U39" r:id="rId7" xr:uid="{39729567-5E7B-46C3-BC72-6794B75B8D0A}"/>
    <hyperlink ref="U11" r:id="rId8" xr:uid="{7A0FA104-D326-4605-9DA2-4896A8D70847}"/>
    <hyperlink ref="U16" r:id="rId9" xr:uid="{D8CC4A9E-B95E-4490-8A2F-570A5BD3E50E}"/>
  </hyperlinks>
  <pageMargins left="0.7" right="0.7" top="0.75" bottom="0.75" header="0.3" footer="0.3"/>
  <pageSetup paperSize="9" orientation="portrait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黃婉濃-債券部-公司債商品處</dc:creator>
  <cp:lastModifiedBy>黃婉濃-債券部-公司債商品處</cp:lastModifiedBy>
  <dcterms:created xsi:type="dcterms:W3CDTF">2025-11-05T06:42:42Z</dcterms:created>
  <dcterms:modified xsi:type="dcterms:W3CDTF">2026-07-13T02:59:34Z</dcterms:modified>
</cp:coreProperties>
</file>